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2106\Desktop\"/>
    </mc:Choice>
  </mc:AlternateContent>
  <xr:revisionPtr revIDLastSave="0" documentId="13_ncr:1_{0CAE3D48-3825-4672-BE73-F25DBB6FB80E}" xr6:coauthVersionLast="36" xr6:coauthVersionMax="36" xr10:uidLastSave="{00000000-0000-0000-0000-000000000000}"/>
  <bookViews>
    <workbookView xWindow="0" yWindow="0" windowWidth="19200" windowHeight="7930" xr2:uid="{00000000-000D-0000-FFFF-FFFF00000000}"/>
  </bookViews>
  <sheets>
    <sheet name="탬플릿" sheetId="5" r:id="rId1"/>
  </sheets>
  <definedNames>
    <definedName name="_xlnm.Print_Area" localSheetId="0">탬플릿!$A$2:$C$43</definedName>
  </definedNames>
  <calcPr calcId="191029"/>
</workbook>
</file>

<file path=xl/calcChain.xml><?xml version="1.0" encoding="utf-8"?>
<calcChain xmlns="http://schemas.openxmlformats.org/spreadsheetml/2006/main">
  <c r="C20" i="5" l="1"/>
  <c r="C30" i="5"/>
  <c r="C25" i="5"/>
  <c r="C34" i="5" s="1"/>
  <c r="C23" i="5" l="1"/>
  <c r="C41" i="5"/>
</calcChain>
</file>

<file path=xl/sharedStrings.xml><?xml version="1.0" encoding="utf-8"?>
<sst xmlns="http://schemas.openxmlformats.org/spreadsheetml/2006/main" count="93" uniqueCount="87">
  <si>
    <t>채권기관</t>
    <phoneticPr fontId="3" type="noConversion"/>
  </si>
  <si>
    <t>기준일</t>
    <phoneticPr fontId="3" type="noConversion"/>
  </si>
  <si>
    <t>채권기본정보</t>
    <phoneticPr fontId="3" type="noConversion"/>
  </si>
  <si>
    <t>채무자정보</t>
    <phoneticPr fontId="3" type="noConversion"/>
  </si>
  <si>
    <t>법인/개인여부</t>
    <phoneticPr fontId="3" type="noConversion"/>
  </si>
  <si>
    <t>채무자명</t>
    <phoneticPr fontId="3" type="noConversion"/>
  </si>
  <si>
    <t>변경전채무자</t>
    <phoneticPr fontId="3" type="noConversion"/>
  </si>
  <si>
    <t>채권상세내역</t>
    <phoneticPr fontId="3" type="noConversion"/>
  </si>
  <si>
    <t>대출잔액</t>
    <phoneticPr fontId="3" type="noConversion"/>
  </si>
  <si>
    <t>대출원금</t>
    <phoneticPr fontId="3" type="noConversion"/>
  </si>
  <si>
    <t>이자</t>
    <phoneticPr fontId="3" type="noConversion"/>
  </si>
  <si>
    <t>정상이자</t>
    <phoneticPr fontId="3" type="noConversion"/>
  </si>
  <si>
    <t>연체이자</t>
    <phoneticPr fontId="3" type="noConversion"/>
  </si>
  <si>
    <t>미수이자</t>
    <phoneticPr fontId="3" type="noConversion"/>
  </si>
  <si>
    <t>비용</t>
    <phoneticPr fontId="3" type="noConversion"/>
  </si>
  <si>
    <t>가지급비용</t>
    <phoneticPr fontId="3" type="noConversion"/>
  </si>
  <si>
    <t>총 채권액</t>
    <phoneticPr fontId="3" type="noConversion"/>
  </si>
  <si>
    <t>정상이자 중 미수이자</t>
    <phoneticPr fontId="3" type="noConversion"/>
  </si>
  <si>
    <t>대출조건</t>
    <phoneticPr fontId="3" type="noConversion"/>
  </si>
  <si>
    <t>대출기간</t>
    <phoneticPr fontId="3" type="noConversion"/>
  </si>
  <si>
    <t>대출금리</t>
    <phoneticPr fontId="3" type="noConversion"/>
  </si>
  <si>
    <t>연체금리</t>
    <phoneticPr fontId="3" type="noConversion"/>
  </si>
  <si>
    <t>원금 연체시작일</t>
    <phoneticPr fontId="3" type="noConversion"/>
  </si>
  <si>
    <t>담보물정보</t>
    <phoneticPr fontId="3" type="noConversion"/>
  </si>
  <si>
    <t>담보물종류</t>
    <phoneticPr fontId="3" type="noConversion"/>
  </si>
  <si>
    <t>전용면적</t>
    <phoneticPr fontId="3" type="noConversion"/>
  </si>
  <si>
    <t>가치평가</t>
    <phoneticPr fontId="3" type="noConversion"/>
  </si>
  <si>
    <t>감정가(법사가)</t>
    <phoneticPr fontId="3" type="noConversion"/>
  </si>
  <si>
    <t>담보인정비율(LTV)</t>
    <phoneticPr fontId="3" type="noConversion"/>
  </si>
  <si>
    <t>권리관계</t>
    <phoneticPr fontId="3" type="noConversion"/>
  </si>
  <si>
    <t>채권보전방식</t>
    <phoneticPr fontId="3" type="noConversion"/>
  </si>
  <si>
    <t>1순위</t>
    <phoneticPr fontId="3" type="noConversion"/>
  </si>
  <si>
    <t>2순위</t>
    <phoneticPr fontId="3" type="noConversion"/>
  </si>
  <si>
    <t>설정금액(채권최고액)</t>
    <phoneticPr fontId="3" type="noConversion"/>
  </si>
  <si>
    <t>현황</t>
    <phoneticPr fontId="3" type="noConversion"/>
  </si>
  <si>
    <t>선순위임차인 내역</t>
    <phoneticPr fontId="3" type="noConversion"/>
  </si>
  <si>
    <t>보증금</t>
    <phoneticPr fontId="3" type="noConversion"/>
  </si>
  <si>
    <t>월세</t>
    <phoneticPr fontId="3" type="noConversion"/>
  </si>
  <si>
    <t>공실여부</t>
    <phoneticPr fontId="3" type="noConversion"/>
  </si>
  <si>
    <t>매각조건</t>
    <phoneticPr fontId="3" type="noConversion"/>
  </si>
  <si>
    <t>계약금</t>
    <phoneticPr fontId="3" type="noConversion"/>
  </si>
  <si>
    <t>잔금일</t>
    <phoneticPr fontId="3" type="noConversion"/>
  </si>
  <si>
    <t>비고</t>
    <phoneticPr fontId="3" type="noConversion"/>
  </si>
  <si>
    <t>법인</t>
    <phoneticPr fontId="3" type="noConversion"/>
  </si>
  <si>
    <t>해당없음</t>
    <phoneticPr fontId="3" type="noConversion"/>
  </si>
  <si>
    <t>앞글자만 적어주세요</t>
    <phoneticPr fontId="3" type="noConversion"/>
  </si>
  <si>
    <t>일부만 적으셔도 됩니다</t>
    <phoneticPr fontId="3" type="noConversion"/>
  </si>
  <si>
    <t>상가</t>
    <phoneticPr fontId="3" type="noConversion"/>
  </si>
  <si>
    <t>경매 사건번호</t>
    <phoneticPr fontId="3" type="noConversion"/>
  </si>
  <si>
    <t>공매 관리번호</t>
    <phoneticPr fontId="3" type="noConversion"/>
  </si>
  <si>
    <t>기타</t>
    <phoneticPr fontId="3" type="noConversion"/>
  </si>
  <si>
    <t>매각방식</t>
    <phoneticPr fontId="3" type="noConversion"/>
  </si>
  <si>
    <t>(자동계산) 대출잔액+이자합계+비용</t>
    <phoneticPr fontId="3" type="noConversion"/>
  </si>
  <si>
    <t>ex. 2015-05-15 ~ 2018-11-15 (3년 6개월)</t>
    <phoneticPr fontId="3" type="noConversion"/>
  </si>
  <si>
    <t>종부세 5건(798백만원), 재산세 3건(103백만원)</t>
    <phoneticPr fontId="3" type="noConversion"/>
  </si>
  <si>
    <t>담보신탁우선수익권(130%), 대주단 공동근저당권(340백만원)</t>
    <phoneticPr fontId="3" type="noConversion"/>
  </si>
  <si>
    <t>입찰보증금의 10%</t>
    <phoneticPr fontId="3" type="noConversion"/>
  </si>
  <si>
    <t>계약일로부터 30일 이내</t>
    <phoneticPr fontId="3" type="noConversion"/>
  </si>
  <si>
    <t>매각 협의가</t>
    <phoneticPr fontId="3" type="noConversion"/>
  </si>
  <si>
    <t>담당자명</t>
    <phoneticPr fontId="3" type="noConversion"/>
  </si>
  <si>
    <t>직책</t>
    <phoneticPr fontId="3" type="noConversion"/>
  </si>
  <si>
    <t>연락처</t>
    <phoneticPr fontId="3" type="noConversion"/>
  </si>
  <si>
    <t>비해당시 '해당없음' 기재</t>
    <phoneticPr fontId="3" type="noConversion"/>
  </si>
  <si>
    <t>공매</t>
    <phoneticPr fontId="3" type="noConversion"/>
  </si>
  <si>
    <t>xx조합</t>
    <phoneticPr fontId="3" type="noConversion"/>
  </si>
  <si>
    <t>ex. 대지, 아파트, 다세대, 오피스텔, 공장</t>
    <phoneticPr fontId="3" type="noConversion"/>
  </si>
  <si>
    <t>(자동계산)</t>
    <phoneticPr fontId="3" type="noConversion"/>
  </si>
  <si>
    <t>ex 담보신탁우선수익권, 대주단 공동근저당권</t>
    <phoneticPr fontId="3" type="noConversion"/>
  </si>
  <si>
    <t>담보신탁우선수익권</t>
    <phoneticPr fontId="3" type="noConversion"/>
  </si>
  <si>
    <t>비해당시 '0'으로 기재</t>
    <phoneticPr fontId="3" type="noConversion"/>
  </si>
  <si>
    <t>2026-9-31</t>
    <phoneticPr fontId="3" type="noConversion"/>
  </si>
  <si>
    <t>대분류</t>
    <phoneticPr fontId="3" type="noConversion"/>
  </si>
  <si>
    <t>자유롭게 기입해주세요.</t>
    <phoneticPr fontId="3" type="noConversion"/>
  </si>
  <si>
    <t>기관명을 기입해주세요</t>
    <phoneticPr fontId="3" type="noConversion"/>
  </si>
  <si>
    <t>공실/비해당시 '0'으로 기재/기타(한달살이 등으로 운영 등)</t>
    <phoneticPr fontId="3" type="noConversion"/>
  </si>
  <si>
    <t>공부상 채권최고액(110%, 120%, 130% 등)을 엑셀 수식 조정</t>
    <phoneticPr fontId="3" type="noConversion"/>
  </si>
  <si>
    <t xml:space="preserve">경상북도 경산시 중방동 </t>
    <phoneticPr fontId="3" type="noConversion"/>
  </si>
  <si>
    <t>경매/공매/기타(내용 기입)</t>
    <phoneticPr fontId="3" type="noConversion"/>
  </si>
  <si>
    <t>담보물주소
(주소 일부만 공개)</t>
    <phoneticPr fontId="3" type="noConversion"/>
  </si>
  <si>
    <t>상세 주소를 기입해주세요. 리스트는 주소 일부만 공개됩니다.</t>
    <phoneticPr fontId="3" type="noConversion"/>
  </si>
  <si>
    <r>
      <t>내용</t>
    </r>
    <r>
      <rPr>
        <b/>
        <sz val="9"/>
        <color theme="0"/>
        <rFont val="맑은 고딕"/>
        <family val="3"/>
        <charset val="129"/>
        <scheme val="minor"/>
      </rPr>
      <t>(세부 내용은 NDA시 제공)</t>
    </r>
    <phoneticPr fontId="3" type="noConversion"/>
  </si>
  <si>
    <t>수익권금액(채권최고액)</t>
    <phoneticPr fontId="3" type="noConversion"/>
  </si>
  <si>
    <t>단위: ㎡ (건물은 총 연면적)</t>
    <phoneticPr fontId="3" type="noConversion"/>
  </si>
  <si>
    <r>
      <t>소분류</t>
    </r>
    <r>
      <rPr>
        <b/>
        <sz val="9"/>
        <color theme="0"/>
        <rFont val="맑은 고딕"/>
        <family val="3"/>
        <charset val="129"/>
        <scheme val="minor"/>
      </rPr>
      <t>(노랑색만 리스트 제공)</t>
    </r>
    <phoneticPr fontId="3" type="noConversion"/>
  </si>
  <si>
    <t>㈜가나다</t>
    <phoneticPr fontId="3" type="noConversion"/>
  </si>
  <si>
    <t>부실채권(NPL) 상세내역 탬플릿</t>
    <phoneticPr fontId="3" type="noConversion"/>
  </si>
  <si>
    <t>매각 종료일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</si>
</sst>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.00_);[Red]\(0.00\)"/>
  </numFmts>
  <fonts count="13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</cellStyleXfs>
  <cellXfs count="39">
    <xf numFmtId="0" fontId="0" fillId="0" borderId="0" xfId="0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76" fontId="8" fillId="0" borderId="0" xfId="0" applyNumberFormat="1" applyFont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right" vertical="top" wrapText="1"/>
    </xf>
    <xf numFmtId="14" fontId="10" fillId="0" borderId="1" xfId="0" applyNumberFormat="1" applyFont="1" applyBorder="1" applyAlignment="1">
      <alignment horizontal="right" vertical="top" wrapText="1"/>
    </xf>
    <xf numFmtId="0" fontId="7" fillId="0" borderId="5" xfId="0" applyFont="1" applyFill="1" applyBorder="1" applyAlignment="1">
      <alignment horizontal="left" vertical="top"/>
    </xf>
    <xf numFmtId="14" fontId="10" fillId="0" borderId="5" xfId="1" applyNumberFormat="1" applyFont="1" applyBorder="1" applyAlignment="1">
      <alignment horizontal="right" vertical="top" wrapText="1"/>
    </xf>
    <xf numFmtId="41" fontId="10" fillId="0" borderId="1" xfId="1" applyFont="1" applyBorder="1" applyAlignment="1">
      <alignment horizontal="right" vertical="top" wrapText="1"/>
    </xf>
    <xf numFmtId="10" fontId="10" fillId="0" borderId="1" xfId="2" applyNumberFormat="1" applyFont="1" applyBorder="1" applyAlignment="1">
      <alignment horizontal="right" vertical="top" wrapText="1"/>
    </xf>
    <xf numFmtId="0" fontId="10" fillId="0" borderId="5" xfId="7" applyFont="1" applyFill="1" applyBorder="1" applyAlignment="1">
      <alignment horizontal="right" vertical="top" wrapText="1"/>
    </xf>
    <xf numFmtId="177" fontId="10" fillId="0" borderId="1" xfId="0" applyNumberFormat="1" applyFont="1" applyBorder="1" applyAlignment="1">
      <alignment horizontal="right" vertical="top" wrapText="1"/>
    </xf>
    <xf numFmtId="176" fontId="10" fillId="0" borderId="1" xfId="0" applyNumberFormat="1" applyFont="1" applyBorder="1" applyAlignment="1">
      <alignment horizontal="right" vertical="top" wrapText="1"/>
    </xf>
    <xf numFmtId="0" fontId="7" fillId="0" borderId="2" xfId="0" applyFont="1" applyBorder="1" applyAlignment="1">
      <alignment horizontal="left" vertical="top"/>
    </xf>
    <xf numFmtId="176" fontId="10" fillId="0" borderId="2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left" vertical="top"/>
    </xf>
    <xf numFmtId="41" fontId="10" fillId="0" borderId="5" xfId="1" applyFont="1" applyBorder="1" applyAlignment="1">
      <alignment horizontal="right" vertical="top" wrapText="1"/>
    </xf>
    <xf numFmtId="0" fontId="7" fillId="0" borderId="10" xfId="0" applyFont="1" applyFill="1" applyBorder="1" applyAlignment="1">
      <alignment horizontal="left" vertical="top"/>
    </xf>
    <xf numFmtId="0" fontId="7" fillId="0" borderId="1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5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left" vertical="top"/>
    </xf>
    <xf numFmtId="41" fontId="10" fillId="0" borderId="1" xfId="1" applyFont="1" applyFill="1" applyBorder="1" applyAlignment="1">
      <alignment horizontal="right" vertical="top" wrapText="1"/>
    </xf>
    <xf numFmtId="176" fontId="9" fillId="2" borderId="1" xfId="0" applyNumberFormat="1" applyFont="1" applyFill="1" applyBorder="1" applyAlignment="1">
      <alignment horizontal="right" vertical="top" wrapText="1"/>
    </xf>
  </cellXfs>
  <cellStyles count="18">
    <cellStyle name="Comma [0]" xfId="6" xr:uid="{00000000-0005-0000-0000-000000000000}"/>
    <cellStyle name="Comma [0] 2" xfId="10" xr:uid="{00000000-0005-0000-0000-000001000000}"/>
    <cellStyle name="백분율" xfId="2" builtinId="5"/>
    <cellStyle name="백분율 2" xfId="13" xr:uid="{00000000-0005-0000-0000-000003000000}"/>
    <cellStyle name="백분율 3" xfId="5" xr:uid="{00000000-0005-0000-0000-000004000000}"/>
    <cellStyle name="쉼표 [0]" xfId="1" builtinId="6"/>
    <cellStyle name="쉼표 [0] 10" xfId="16" xr:uid="{00000000-0005-0000-0000-000006000000}"/>
    <cellStyle name="쉼표 [0] 2" xfId="9" xr:uid="{00000000-0005-0000-0000-000007000000}"/>
    <cellStyle name="쉼표 [0] 3" xfId="15" xr:uid="{00000000-0005-0000-0000-000008000000}"/>
    <cellStyle name="쉼표 [0] 4" xfId="4" xr:uid="{00000000-0005-0000-0000-000009000000}"/>
    <cellStyle name="표준" xfId="0" builtinId="0"/>
    <cellStyle name="표준 2" xfId="7" xr:uid="{00000000-0005-0000-0000-00000B000000}"/>
    <cellStyle name="표준 2 2" xfId="8" xr:uid="{00000000-0005-0000-0000-00000C000000}"/>
    <cellStyle name="표준 2 3 2" xfId="14" xr:uid="{00000000-0005-0000-0000-00000D000000}"/>
    <cellStyle name="표준 3" xfId="3" xr:uid="{00000000-0005-0000-0000-00000E000000}"/>
    <cellStyle name="표준 4" xfId="12" xr:uid="{00000000-0005-0000-0000-00000F000000}"/>
    <cellStyle name="표준 5" xfId="11" xr:uid="{00000000-0005-0000-0000-000010000000}"/>
    <cellStyle name="표준 6" xfId="17" xr:uid="{00000000-0005-0000-0000-000011000000}"/>
  </cellStyles>
  <dxfs count="0"/>
  <tableStyles count="0" defaultTableStyle="TableStyleMedium9" defaultPivotStyle="PivotStyleMedium4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tabSelected="1" zoomScaleNormal="100" workbookViewId="0">
      <selection activeCell="B6" sqref="B6"/>
    </sheetView>
  </sheetViews>
  <sheetFormatPr defaultRowHeight="21.75" customHeight="1" x14ac:dyDescent="0.45"/>
  <cols>
    <col min="1" max="1" width="18.4609375" style="2" customWidth="1"/>
    <col min="2" max="2" width="22.765625" style="2" customWidth="1"/>
    <col min="3" max="3" width="34.07421875" style="3" customWidth="1"/>
    <col min="4" max="4" width="38.4609375" style="2" customWidth="1"/>
    <col min="5" max="16384" width="9.23046875" style="2"/>
  </cols>
  <sheetData>
    <row r="1" spans="1:4" ht="21.75" customHeight="1" x14ac:dyDescent="0.45">
      <c r="A1" s="1" t="s">
        <v>85</v>
      </c>
    </row>
    <row r="2" spans="1:4" ht="21.75" customHeight="1" x14ac:dyDescent="0.45">
      <c r="A2" s="13" t="s">
        <v>71</v>
      </c>
      <c r="B2" s="13" t="s">
        <v>83</v>
      </c>
      <c r="C2" s="38" t="s">
        <v>80</v>
      </c>
      <c r="D2" s="13" t="s">
        <v>42</v>
      </c>
    </row>
    <row r="3" spans="1:4" ht="18" customHeight="1" x14ac:dyDescent="0.45">
      <c r="A3" s="7" t="s">
        <v>2</v>
      </c>
      <c r="B3" s="14" t="s">
        <v>0</v>
      </c>
      <c r="C3" s="15" t="s">
        <v>64</v>
      </c>
      <c r="D3" s="30" t="s">
        <v>73</v>
      </c>
    </row>
    <row r="4" spans="1:4" ht="15.5" customHeight="1" x14ac:dyDescent="0.45">
      <c r="A4" s="8"/>
      <c r="B4" s="34" t="s">
        <v>1</v>
      </c>
      <c r="C4" s="16">
        <v>46232</v>
      </c>
      <c r="D4" s="30"/>
    </row>
    <row r="5" spans="1:4" ht="15.5" customHeight="1" x14ac:dyDescent="0.45">
      <c r="A5" s="8"/>
      <c r="B5" s="17" t="s">
        <v>59</v>
      </c>
      <c r="C5" s="18"/>
      <c r="D5" s="31"/>
    </row>
    <row r="6" spans="1:4" ht="15.5" customHeight="1" x14ac:dyDescent="0.45">
      <c r="A6" s="8"/>
      <c r="B6" s="17" t="s">
        <v>60</v>
      </c>
      <c r="C6" s="18"/>
      <c r="D6" s="31"/>
    </row>
    <row r="7" spans="1:4" ht="15.5" customHeight="1" x14ac:dyDescent="0.45">
      <c r="A7" s="9"/>
      <c r="B7" s="17" t="s">
        <v>61</v>
      </c>
      <c r="C7" s="18"/>
      <c r="D7" s="31"/>
    </row>
    <row r="8" spans="1:4" ht="15.5" customHeight="1" x14ac:dyDescent="0.45">
      <c r="A8" s="4" t="s">
        <v>3</v>
      </c>
      <c r="B8" s="14" t="s">
        <v>4</v>
      </c>
      <c r="C8" s="15" t="s">
        <v>43</v>
      </c>
      <c r="D8" s="30"/>
    </row>
    <row r="9" spans="1:4" ht="15.5" customHeight="1" x14ac:dyDescent="0.45">
      <c r="A9" s="6"/>
      <c r="B9" s="14" t="s">
        <v>5</v>
      </c>
      <c r="C9" s="15" t="s">
        <v>84</v>
      </c>
      <c r="D9" s="30" t="s">
        <v>45</v>
      </c>
    </row>
    <row r="10" spans="1:4" ht="15.5" customHeight="1" x14ac:dyDescent="0.45">
      <c r="A10" s="5"/>
      <c r="B10" s="14" t="s">
        <v>6</v>
      </c>
      <c r="C10" s="15" t="s">
        <v>44</v>
      </c>
      <c r="D10" s="30" t="s">
        <v>62</v>
      </c>
    </row>
    <row r="11" spans="1:4" ht="15.5" customHeight="1" x14ac:dyDescent="0.45">
      <c r="A11" s="7" t="s">
        <v>51</v>
      </c>
      <c r="B11" s="14" t="s">
        <v>51</v>
      </c>
      <c r="C11" s="15" t="s">
        <v>63</v>
      </c>
      <c r="D11" s="30" t="s">
        <v>77</v>
      </c>
    </row>
    <row r="12" spans="1:4" ht="15.5" customHeight="1" x14ac:dyDescent="0.45">
      <c r="A12" s="8"/>
      <c r="B12" s="17" t="s">
        <v>48</v>
      </c>
      <c r="C12" s="15"/>
      <c r="D12" s="30"/>
    </row>
    <row r="13" spans="1:4" ht="15.5" customHeight="1" x14ac:dyDescent="0.45">
      <c r="A13" s="9"/>
      <c r="B13" s="17" t="s">
        <v>49</v>
      </c>
      <c r="C13" s="15"/>
      <c r="D13" s="30"/>
    </row>
    <row r="14" spans="1:4" ht="15.5" customHeight="1" x14ac:dyDescent="0.45">
      <c r="A14" s="4" t="s">
        <v>7</v>
      </c>
      <c r="B14" s="14" t="s">
        <v>8</v>
      </c>
      <c r="C14" s="19">
        <v>1258000000</v>
      </c>
      <c r="D14" s="30"/>
    </row>
    <row r="15" spans="1:4" ht="15.5" customHeight="1" x14ac:dyDescent="0.45">
      <c r="A15" s="5"/>
      <c r="B15" s="14" t="s">
        <v>9</v>
      </c>
      <c r="C15" s="19">
        <v>1258000000</v>
      </c>
      <c r="D15" s="30"/>
    </row>
    <row r="16" spans="1:4" ht="15.5" customHeight="1" x14ac:dyDescent="0.45">
      <c r="A16" s="4" t="s">
        <v>10</v>
      </c>
      <c r="B16" s="14" t="s">
        <v>11</v>
      </c>
      <c r="C16" s="19">
        <v>68264094</v>
      </c>
      <c r="D16" s="30" t="s">
        <v>46</v>
      </c>
    </row>
    <row r="17" spans="1:4" ht="15.5" customHeight="1" x14ac:dyDescent="0.45">
      <c r="A17" s="6"/>
      <c r="B17" s="14" t="s">
        <v>12</v>
      </c>
      <c r="C17" s="19">
        <v>0</v>
      </c>
      <c r="D17" s="30" t="s">
        <v>46</v>
      </c>
    </row>
    <row r="18" spans="1:4" ht="15.5" customHeight="1" x14ac:dyDescent="0.45">
      <c r="A18" s="5"/>
      <c r="B18" s="14" t="s">
        <v>13</v>
      </c>
      <c r="C18" s="19">
        <v>0</v>
      </c>
      <c r="D18" s="30" t="s">
        <v>17</v>
      </c>
    </row>
    <row r="19" spans="1:4" ht="15.5" customHeight="1" x14ac:dyDescent="0.45">
      <c r="A19" s="4" t="s">
        <v>14</v>
      </c>
      <c r="B19" s="14" t="s">
        <v>15</v>
      </c>
      <c r="C19" s="19">
        <v>0</v>
      </c>
      <c r="D19" s="30"/>
    </row>
    <row r="20" spans="1:4" ht="15.5" customHeight="1" x14ac:dyDescent="0.45">
      <c r="A20" s="5"/>
      <c r="B20" s="34" t="s">
        <v>16</v>
      </c>
      <c r="C20" s="19">
        <f>C14+C16+C17</f>
        <v>1326264094</v>
      </c>
      <c r="D20" s="30" t="s">
        <v>52</v>
      </c>
    </row>
    <row r="21" spans="1:4" ht="15.5" customHeight="1" x14ac:dyDescent="0.45">
      <c r="A21" s="4" t="s">
        <v>18</v>
      </c>
      <c r="B21" s="14" t="s">
        <v>19</v>
      </c>
      <c r="C21" s="15"/>
      <c r="D21" s="30" t="s">
        <v>53</v>
      </c>
    </row>
    <row r="22" spans="1:4" ht="15.5" customHeight="1" x14ac:dyDescent="0.45">
      <c r="A22" s="6"/>
      <c r="B22" s="14" t="s">
        <v>20</v>
      </c>
      <c r="C22" s="20">
        <v>0.04</v>
      </c>
      <c r="D22" s="30"/>
    </row>
    <row r="23" spans="1:4" ht="15.5" customHeight="1" x14ac:dyDescent="0.45">
      <c r="A23" s="6"/>
      <c r="B23" s="14" t="s">
        <v>21</v>
      </c>
      <c r="C23" s="20">
        <f>C22+3%</f>
        <v>7.0000000000000007E-2</v>
      </c>
      <c r="D23" s="30"/>
    </row>
    <row r="24" spans="1:4" ht="15.5" customHeight="1" x14ac:dyDescent="0.45">
      <c r="A24" s="6"/>
      <c r="B24" s="14" t="s">
        <v>22</v>
      </c>
      <c r="C24" s="16">
        <v>45900</v>
      </c>
      <c r="D24" s="30" t="s">
        <v>62</v>
      </c>
    </row>
    <row r="25" spans="1:4" ht="15.5" customHeight="1" x14ac:dyDescent="0.45">
      <c r="A25" s="5"/>
      <c r="B25" s="34" t="s">
        <v>81</v>
      </c>
      <c r="C25" s="37">
        <f>C15*120%</f>
        <v>1509600000</v>
      </c>
      <c r="D25" s="30" t="s">
        <v>75</v>
      </c>
    </row>
    <row r="26" spans="1:4" ht="46.5" customHeight="1" x14ac:dyDescent="0.45">
      <c r="A26" s="4" t="s">
        <v>23</v>
      </c>
      <c r="B26" s="35" t="s">
        <v>78</v>
      </c>
      <c r="C26" s="21" t="s">
        <v>76</v>
      </c>
      <c r="D26" s="30" t="s">
        <v>79</v>
      </c>
    </row>
    <row r="27" spans="1:4" ht="15.5" customHeight="1" x14ac:dyDescent="0.45">
      <c r="A27" s="6"/>
      <c r="B27" s="34" t="s">
        <v>24</v>
      </c>
      <c r="C27" s="15" t="s">
        <v>47</v>
      </c>
      <c r="D27" s="30" t="s">
        <v>65</v>
      </c>
    </row>
    <row r="28" spans="1:4" ht="15.5" customHeight="1" x14ac:dyDescent="0.45">
      <c r="A28" s="5"/>
      <c r="B28" s="34" t="s">
        <v>25</v>
      </c>
      <c r="C28" s="22">
        <v>145.80000000000001</v>
      </c>
      <c r="D28" s="30" t="s">
        <v>82</v>
      </c>
    </row>
    <row r="29" spans="1:4" ht="15.5" customHeight="1" x14ac:dyDescent="0.45">
      <c r="A29" s="4" t="s">
        <v>26</v>
      </c>
      <c r="B29" s="34" t="s">
        <v>27</v>
      </c>
      <c r="C29" s="19">
        <v>1918325650</v>
      </c>
      <c r="D29" s="30"/>
    </row>
    <row r="30" spans="1:4" ht="15.5" customHeight="1" x14ac:dyDescent="0.45">
      <c r="A30" s="5"/>
      <c r="B30" s="14" t="s">
        <v>28</v>
      </c>
      <c r="C30" s="20">
        <f>(C14+C36)/C29</f>
        <v>0.65578021124828312</v>
      </c>
      <c r="D30" s="30" t="s">
        <v>66</v>
      </c>
    </row>
    <row r="31" spans="1:4" ht="15.5" customHeight="1" x14ac:dyDescent="0.45">
      <c r="A31" s="4" t="s">
        <v>29</v>
      </c>
      <c r="B31" s="14" t="s">
        <v>30</v>
      </c>
      <c r="C31" s="23" t="s">
        <v>68</v>
      </c>
      <c r="D31" s="30" t="s">
        <v>67</v>
      </c>
    </row>
    <row r="32" spans="1:4" ht="15.5" customHeight="1" x14ac:dyDescent="0.45">
      <c r="A32" s="6"/>
      <c r="B32" s="14" t="s">
        <v>31</v>
      </c>
      <c r="C32" s="23"/>
      <c r="D32" s="30" t="s">
        <v>54</v>
      </c>
    </row>
    <row r="33" spans="1:4" ht="15.5" customHeight="1" x14ac:dyDescent="0.45">
      <c r="A33" s="6"/>
      <c r="B33" s="14" t="s">
        <v>32</v>
      </c>
      <c r="C33" s="23"/>
      <c r="D33" s="30" t="s">
        <v>55</v>
      </c>
    </row>
    <row r="34" spans="1:4" ht="15.5" customHeight="1" x14ac:dyDescent="0.45">
      <c r="A34" s="5"/>
      <c r="B34" s="14" t="s">
        <v>33</v>
      </c>
      <c r="C34" s="19">
        <f>C25</f>
        <v>1509600000</v>
      </c>
      <c r="D34" s="30"/>
    </row>
    <row r="35" spans="1:4" ht="15.5" customHeight="1" x14ac:dyDescent="0.45">
      <c r="A35" s="4" t="s">
        <v>34</v>
      </c>
      <c r="B35" s="14" t="s">
        <v>35</v>
      </c>
      <c r="C35" s="23">
        <v>0</v>
      </c>
      <c r="D35" s="30" t="s">
        <v>69</v>
      </c>
    </row>
    <row r="36" spans="1:4" ht="15.5" customHeight="1" x14ac:dyDescent="0.45">
      <c r="A36" s="6"/>
      <c r="B36" s="14" t="s">
        <v>36</v>
      </c>
      <c r="C36" s="23">
        <v>0</v>
      </c>
      <c r="D36" s="30" t="s">
        <v>69</v>
      </c>
    </row>
    <row r="37" spans="1:4" ht="15.5" customHeight="1" x14ac:dyDescent="0.45">
      <c r="A37" s="6"/>
      <c r="B37" s="14" t="s">
        <v>37</v>
      </c>
      <c r="C37" s="23">
        <v>0</v>
      </c>
      <c r="D37" s="30" t="s">
        <v>69</v>
      </c>
    </row>
    <row r="38" spans="1:4" ht="15.5" customHeight="1" x14ac:dyDescent="0.45">
      <c r="A38" s="6"/>
      <c r="B38" s="24" t="s">
        <v>38</v>
      </c>
      <c r="C38" s="25"/>
      <c r="D38" s="32" t="s">
        <v>74</v>
      </c>
    </row>
    <row r="39" spans="1:4" ht="15.5" customHeight="1" x14ac:dyDescent="0.45">
      <c r="A39" s="10" t="s">
        <v>39</v>
      </c>
      <c r="B39" s="36" t="s">
        <v>58</v>
      </c>
      <c r="C39" s="27">
        <v>800000000</v>
      </c>
      <c r="D39" s="31"/>
    </row>
    <row r="40" spans="1:4" ht="15.5" customHeight="1" x14ac:dyDescent="0.45">
      <c r="A40" s="11"/>
      <c r="B40" s="17" t="s">
        <v>86</v>
      </c>
      <c r="C40" s="18" t="s">
        <v>70</v>
      </c>
      <c r="D40" s="31"/>
    </row>
    <row r="41" spans="1:4" ht="15.5" customHeight="1" x14ac:dyDescent="0.45">
      <c r="A41" s="11"/>
      <c r="B41" s="26" t="s">
        <v>40</v>
      </c>
      <c r="C41" s="27">
        <f>C39*10%</f>
        <v>80000000</v>
      </c>
      <c r="D41" s="31" t="s">
        <v>56</v>
      </c>
    </row>
    <row r="42" spans="1:4" ht="15.5" customHeight="1" x14ac:dyDescent="0.45">
      <c r="A42" s="11"/>
      <c r="B42" s="26" t="s">
        <v>41</v>
      </c>
      <c r="C42" s="18" t="s">
        <v>70</v>
      </c>
      <c r="D42" s="31" t="s">
        <v>57</v>
      </c>
    </row>
    <row r="43" spans="1:4" ht="144.5" customHeight="1" x14ac:dyDescent="0.45">
      <c r="A43" s="12" t="s">
        <v>50</v>
      </c>
      <c r="B43" s="28"/>
      <c r="C43" s="29"/>
      <c r="D43" s="33" t="s">
        <v>72</v>
      </c>
    </row>
  </sheetData>
  <mergeCells count="13">
    <mergeCell ref="A11:A13"/>
    <mergeCell ref="B43:C43"/>
    <mergeCell ref="A39:A42"/>
    <mergeCell ref="A26:A28"/>
    <mergeCell ref="A29:A30"/>
    <mergeCell ref="A31:A34"/>
    <mergeCell ref="A35:A38"/>
    <mergeCell ref="A21:A25"/>
    <mergeCell ref="A8:A10"/>
    <mergeCell ref="A14:A15"/>
    <mergeCell ref="A16:A18"/>
    <mergeCell ref="A19:A20"/>
    <mergeCell ref="A3:A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탬플릿</vt:lpstr>
      <vt:lpstr>탬플릿!Print_Area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82106</cp:lastModifiedBy>
  <cp:lastPrinted>2026-08-18T00:04:55Z</cp:lastPrinted>
  <dcterms:created xsi:type="dcterms:W3CDTF">2025-09-11T07:42:18Z</dcterms:created>
  <dcterms:modified xsi:type="dcterms:W3CDTF">2026-08-18T00:35:23Z</dcterms:modified>
</cp:coreProperties>
</file>