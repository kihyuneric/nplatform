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1_기본정보" state="visible" r:id="rId4"/>
    <sheet sheetId="2" name="2_특수조건V2" state="visible" r:id="rId5"/>
    <sheet sheetId="3" name="3_필요서류_사진" state="visible" r:id="rId6"/>
    <sheet sheetId="4" name="4_가이드_OCR" state="visible" r:id="rId7"/>
  </sheets>
  <calcPr calcId="171027"/>
</workbook>
</file>

<file path=xl/sharedStrings.xml><?xml version="1.0" encoding="utf-8"?>
<sst xmlns="http://schemas.openxmlformats.org/spreadsheetml/2006/main" count="472" uniqueCount="252">
  <si>
    <t>[시트 1] 매물 기본 정보 — NPL 매물등록 템플릿 v3.3 (드롭다운+O/X+수식+수익권 커스텀)</t>
  </si>
  <si>
    <t>항목</t>
  </si>
  <si>
    <t>값 (드롭다운 · 자유입력 · O/X · 자동계산)</t>
  </si>
  <si>
    <t>설명 / 예시</t>
  </si>
  <si>
    <t>범례</t>
  </si>
  <si>
    <t>🟦 드롭다운 선택   🟨 자유 입력   🟩 O/X 체크   ⬜ 자동 계산 (수식)</t>
  </si>
  <si>
    <t>O = 해당 · X = 비해당 · 빈 셀 = 미응답</t>
  </si>
  <si>
    <t>1. 기관·매각주체</t>
  </si>
  <si>
    <t>기관명</t>
  </si>
  <si>
    <t/>
  </si>
  <si>
    <t>예: 우리은행 서울지점 / OOOOO이에프투자대부</t>
  </si>
  <si>
    <t>기관유형 (드롭다운 선택)</t>
  </si>
  <si>
    <t>11개 중 1개 선택 (대부업 포함)</t>
  </si>
  <si>
    <t>매물분류 (드롭다운 선택)</t>
  </si>
  <si>
    <t>NPL 또는 일반 부동산</t>
  </si>
  <si>
    <t>NPLatform 전속계약 (드롭다운 선택)</t>
  </si>
  <si>
    <t>전속 ON 시 수수료 0.3% 자동 + 땅집고 기사 지원</t>
  </si>
  <si>
    <t>2. 담보·주소</t>
  </si>
  <si>
    <t>담보종류 (드롭다운 선택)</t>
  </si>
  <si>
    <t>10개 중 1개 선택</t>
  </si>
  <si>
    <t>시도 (드롭다운 선택)</t>
  </si>
  <si>
    <t>17개 광역자치단체 중 1개</t>
  </si>
  <si>
    <t>시군구</t>
  </si>
  <si>
    <t>예: 종로구 / 송파구  (시도 선택 후 해당 시군구 입력)</t>
  </si>
  <si>
    <t>상세주소</t>
  </si>
  <si>
    <t>예: 홍지동 산00-00 외 7필지</t>
  </si>
  <si>
    <t>전용면적 (㎡)</t>
  </si>
  <si>
    <t>숫자만. 평 환산값 입력 금지</t>
  </si>
  <si>
    <t>건축년도</t>
  </si>
  <si>
    <t>YYYY 4자리. 예: 2018  (토지인 경우 빈칸)</t>
  </si>
  <si>
    <t>3. 채무자</t>
  </si>
  <si>
    <t>채무자 유형 (드롭다운 선택)</t>
  </si>
  <si>
    <t>분석보고서 질권대출 LTV 기본값 분기</t>
  </si>
  <si>
    <t>채무자·소유자 동일 여부 (드롭다운 선택)</t>
  </si>
  <si>
    <t>2개 중 1개</t>
  </si>
  <si>
    <t>4. 채권정보</t>
  </si>
  <si>
    <t>최초 대출원금 (원)</t>
  </si>
  <si>
    <t>대출 실행 당시 원금. 수익권금액 산정 기준. 예: 1,700,000,000</t>
  </si>
  <si>
    <t>대출원금 (현재 잔액 · 원)</t>
  </si>
  <si>
    <t>현재 미상환 원금. 예: 1,648,045,960</t>
  </si>
  <si>
    <t>미수이자 (원)</t>
  </si>
  <si>
    <t>연체 전 정상금리 미수분 (있으면)</t>
  </si>
  <si>
    <t>연체이자 (원)</t>
  </si>
  <si>
    <t>연체금리 누적분. 예: 81,273,499</t>
  </si>
  <si>
    <t>채권잔액 (원) · 자동</t>
  </si>
  <si>
    <t>= 대출원금 + 미수이자 + 연체이자</t>
  </si>
  <si>
    <t>수익권 비율 (%)</t>
  </si>
  <si>
    <t>1차 근저당 표준 110~140%. 본인이 설정 가능 (기본 140)</t>
  </si>
  <si>
    <t>수익권금액 (자동 계산값 · 참고)</t>
  </si>
  <si>
    <t>= 최초 대출원금 × 수익권 비율% (참고용 자동값)</t>
  </si>
  <si>
    <t>수익권금액 (적용값 · 직접 입력)</t>
  </si>
  <si>
    <t>비워두면 위 자동값 적용. 매도자 협상가 또는 등기부 채권최고액 직접 입력 가능</t>
  </si>
  <si>
    <t>연체 시작일</t>
  </si>
  <si>
    <t>YYYY-MM-DD</t>
  </si>
  <si>
    <t>정상금리 (%)</t>
  </si>
  <si>
    <t>소수 · 예: 4.5</t>
  </si>
  <si>
    <t>연체금리 (%)</t>
  </si>
  <si>
    <t>소수 · 예: 12.0</t>
  </si>
  <si>
    <t>5. 감정·시세·경매</t>
  </si>
  <si>
    <t>감정가 (원)</t>
  </si>
  <si>
    <t>공인감정평가서 금액. 예: 6,673,000,000</t>
  </si>
  <si>
    <t>감정평가일자</t>
  </si>
  <si>
    <t>AI 시세·현재시가 (원)</t>
  </si>
  <si>
    <t>감정가 외 보조 참고값 (있으면)</t>
  </si>
  <si>
    <t>시세 산출 근거</t>
  </si>
  <si>
    <t>예: 인근 실거래 3건 중앙값 · 2025-10-21 기준</t>
  </si>
  <si>
    <t>경매개시결정일</t>
  </si>
  <si>
    <t>YYYY-MM-DD (해당 시)</t>
  </si>
  <si>
    <t>공매 개시일</t>
  </si>
  <si>
    <t>6. 권리·임차</t>
  </si>
  <si>
    <t>1순위 권리자 (예: 우리은행)</t>
  </si>
  <si>
    <t>1순위 근저당권자 명칭</t>
  </si>
  <si>
    <t>1순위 채권최고액 (원)</t>
  </si>
  <si>
    <t>1순위 근저당 채권최고액 (보통 원금 ×120%). 예: 2,364,000,000</t>
  </si>
  <si>
    <t>선순위 채권 총액 (원)</t>
  </si>
  <si>
    <t>1순위 근저당 이전 선순위 합계 (1순위 본인 제외). 예: 2,364,000,000</t>
  </si>
  <si>
    <t>LTV (%) · 자동 · (선순위+대출원금)/감정가</t>
  </si>
  <si>
    <t>= (선순위 채권총액 + 대출원금) ÷ 감정가 × 100</t>
  </si>
  <si>
    <t>후순위 채권 건수</t>
  </si>
  <si>
    <t>정수. 예: 2</t>
  </si>
  <si>
    <t>임차 보증금 총액 (원)</t>
  </si>
  <si>
    <t>월세 총액 (원)</t>
  </si>
  <si>
    <t>임차인 수</t>
  </si>
  <si>
    <t>정수</t>
  </si>
  <si>
    <t>7. 매각가·방식</t>
  </si>
  <si>
    <t>매각 기준 (드롭다운 선택)</t>
  </si>
  <si>
    <t>대출원금 기준 = 옵션 A · 채권잔액 기준 = 옵션 B</t>
  </si>
  <si>
    <t>할인율 A · 대출원금 대비 (%)</t>
  </si>
  <si>
    <t>매각가 옵션 A 산정용. 예: 0 (할인없음) / 5 / 10</t>
  </si>
  <si>
    <t>할인율 B · 채권잔액 대비 (%)</t>
  </si>
  <si>
    <t>매각가 옵션 B 산정용. 예: 0 (채권잔액 100%)</t>
  </si>
  <si>
    <t>매각가 옵션 A · 자동 · 대출원금×(1−할인율A%)</t>
  </si>
  <si>
    <t>대출원금 기준 매각가</t>
  </si>
  <si>
    <t>매각가 옵션 B · 자동 · 채권잔액×(1−할인율B%)</t>
  </si>
  <si>
    <t>채권잔액 기준 매각가</t>
  </si>
  <si>
    <t>매각 희망가 (원) · 매도자 최종 결정</t>
  </si>
  <si>
    <t>옵션 A 또는 B 중 선택한 값을 기재. 매수자에게 공개될 가격</t>
  </si>
  <si>
    <t>계약금 (원) · 자동 · 매각희망가 ×10%</t>
  </si>
  <si>
    <t>계약 체결 시 입금액</t>
  </si>
  <si>
    <t>매각 방식 · 엔플랫폼</t>
  </si>
  <si>
    <t>복수 선택 가능</t>
  </si>
  <si>
    <t>매각 방식 · 경매</t>
  </si>
  <si>
    <t>매각 방식 · 공매</t>
  </si>
  <si>
    <t>매각 방식 · 기타 (있음?)</t>
  </si>
  <si>
    <t>기타 선택 시 아래 행에 직접 입력</t>
  </si>
  <si>
    <t>매각 방식 · 기타 상세</t>
  </si>
  <si>
    <t>예: 해외 매각 / 이관 / 사모펀드 / Bulk</t>
  </si>
  <si>
    <t>희망 수수료율 (%)</t>
  </si>
  <si>
    <t>일반 0.5~0.9 · 전속 시 0.3 자동 적용 (빈칸 허용)</t>
  </si>
  <si>
    <t>[시트 2] 특수조건 V2 18항목 — O/X 체크리스트 + 점수 자동계산</t>
  </si>
  <si>
    <t>안내</t>
  </si>
  <si>
    <t>버킷</t>
  </si>
  <si>
    <t>특수조건</t>
  </si>
  <si>
    <t>감점</t>
  </si>
  <si>
    <t>체크 (O/X)</t>
  </si>
  <si>
    <t>비고 / 근거</t>
  </si>
  <si>
    <t>🔴 소유권</t>
  </si>
  <si>
    <t>전세권만 매각</t>
  </si>
  <si>
    <t>전세권 단독 경매 · 소유권 이전 불가</t>
  </si>
  <si>
    <t>선순위 등기권리 존재</t>
  </si>
  <si>
    <t>선순위 근저당·지상권·임차권·전세권·가등기·가처분·가압류</t>
  </si>
  <si>
    <t>대항력 있는 임차인</t>
  </si>
  <si>
    <t>주택임대차보호법 · 보증금 인수</t>
  </si>
  <si>
    <t>유치권 / 법정지상권</t>
  </si>
  <si>
    <t>제3자 점유·명도 제한 or 건물 철거 불가</t>
  </si>
  <si>
    <t>지분입찰</t>
  </si>
  <si>
    <t>공유지분만 매각 · 분할청구·우선매수 고려</t>
  </si>
  <si>
    <t>🟠 비용</t>
  </si>
  <si>
    <t>당해세</t>
  </si>
  <si>
    <t>해당 부동산 부과 조세 · 최우선 배당</t>
  </si>
  <si>
    <t>토지 별도등기</t>
  </si>
  <si>
    <t>건물·토지 등기 분리 · 법정지상권 정리 필요</t>
  </si>
  <si>
    <t>임금채권</t>
  </si>
  <si>
    <t>최종 3개월분 + 퇴직금 3년분 최우선</t>
  </si>
  <si>
    <t>임차권 등기</t>
  </si>
  <si>
    <t>임차권 등기명령 · 대항력 유지 · 보증금 인수</t>
  </si>
  <si>
    <t>대지권 미등기</t>
  </si>
  <si>
    <t>건물만 매각 · 대지사용권 별도 취득 필요</t>
  </si>
  <si>
    <t>조세 / 4대보험</t>
  </si>
  <si>
    <t>국세·지방세·국민연금·건강·고용·산재 체납</t>
  </si>
  <si>
    <t>재해보상</t>
  </si>
  <si>
    <t>산재 보상금 체납 · 최우선 배당</t>
  </si>
  <si>
    <t>🟡 유동성</t>
  </si>
  <si>
    <t>무허가건축물</t>
  </si>
  <si>
    <t>건축허가 無 · 철거 대상</t>
  </si>
  <si>
    <t>맹지</t>
  </si>
  <si>
    <t>도로 접근 無 · 건축·개발 제약</t>
  </si>
  <si>
    <t>사용승인 미필</t>
  </si>
  <si>
    <t>준공검사 미완료 · 등기 제한</t>
  </si>
  <si>
    <t>분묘기지권</t>
  </si>
  <si>
    <t>타인 묘지 존재 · 개장 제약 (토지 한정)</t>
  </si>
  <si>
    <t>위반건축물</t>
  </si>
  <si>
    <t>건축물대장 등재 · 강제이행금·양성화비</t>
  </si>
  <si>
    <t>농취증 필요</t>
  </si>
  <si>
    <t>농지법 제8조 · 취득자격 제한</t>
  </si>
  <si>
    <t>점수</t>
  </si>
  <si>
    <t>권리관계 기초점수 (자동)</t>
  </si>
  <si>
    <t>= MAX(20, 100 + Σ(O 표시 행의 감점))</t>
  </si>
  <si>
    <t>[시트 3] 필요서류 체크리스트</t>
  </si>
  <si>
    <t>구분</t>
  </si>
  <si>
    <t>서류명</t>
  </si>
  <si>
    <t>필수 여부</t>
  </si>
  <si>
    <t>제공 여부</t>
  </si>
  <si>
    <t>파일명 · 첨부 위치</t>
  </si>
  <si>
    <t>필수</t>
  </si>
  <si>
    <t>채권원인서류 사본 (대출계약서·이행약정서)</t>
  </si>
  <si>
    <t>선택</t>
  </si>
  <si>
    <t>예: 대출계약서.pdf</t>
  </si>
  <si>
    <t>채권잔액확인서</t>
  </si>
  <si>
    <t>등기부등본 (부동산 · 최근 1개월 내)</t>
  </si>
  <si>
    <t>필수 자료 — 등기 권리관계 검증 근거</t>
  </si>
  <si>
    <t>건축물대장</t>
  </si>
  <si>
    <t>토지대장</t>
  </si>
  <si>
    <t>공시지가·시가표준액 확인</t>
  </si>
  <si>
    <t>감정평가서 (공인감정평가법인)</t>
  </si>
  <si>
    <t>제공 시 자료 완성도 +10</t>
  </si>
  <si>
    <t>권리분석 보고서</t>
  </si>
  <si>
    <t>임차현황 조사서 (주민등록·확정일자)</t>
  </si>
  <si>
    <t>세금 체납 확인서 (당해세·일반세)</t>
  </si>
  <si>
    <t>4대보험 체납확인서</t>
  </si>
  <si>
    <t>재무제표 (법인 채무자인 경우)</t>
  </si>
  <si>
    <t>경매</t>
  </si>
  <si>
    <t>경매사건기록 (사건번호·관할법원)</t>
  </si>
  <si>
    <t>경매 진행 시</t>
  </si>
  <si>
    <t>감정평가서 (경매법원 제출본)</t>
  </si>
  <si>
    <t>입찰기일 공고</t>
  </si>
  <si>
    <t>공매</t>
  </si>
  <si>
    <t>공매관리번호 / 자산관리공사 공고</t>
  </si>
  <si>
    <t>사진</t>
  </si>
  <si>
    <t>외관 전경 (주 정면)</t>
  </si>
  <si>
    <t>필수 사진 — 최소 1장 · JPG/PNG · 2MB 이하 권장</t>
  </si>
  <si>
    <t>외관 측면 (골목·진입로)</t>
  </si>
  <si>
    <t>내부 거실/주방</t>
  </si>
  <si>
    <t>내부 방·화장실</t>
  </si>
  <si>
    <t>주변 환경·인근 시설</t>
  </si>
  <si>
    <t>하자·흠결 부위 (있을 시)</t>
  </si>
  <si>
    <t>건물대장·등기부 사진 또는 스캔</t>
  </si>
  <si>
    <t>[시트 4] 입력 가이드 · OCR 규격 (v3.3 · 드롭다운 + O/X + 자동계산 + 수익권 커스텀)</t>
  </si>
  <si>
    <t>1. 입력 형식 구분</t>
  </si>
  <si>
    <t>🟦 드롭다운 : 셀을 클릭하면 화살표가 보이고 옵션 목록에서 선택 (예: 시도·기관유형·담보종류·매각기준)</t>
  </si>
  <si>
    <t>🟨 자유 입력 : 금액·면적·날짜·주소·텍스트</t>
  </si>
  <si>
    <t>🟩 O/X 체크 : "O (해당)" / "X (비해당)" 드롭다운 (예: 매각방식·특수조건·서류 제공)</t>
  </si>
  <si>
    <t>⬜ 자동 계산 : 수식 셀 (이탤릭 · 회색 배경) — 직접 입력 금지 · 다른 입력값 변경 시 자동 갱신</t>
  </si>
  <si>
    <t>2. 자동 계산 항목 (시트 1)</t>
  </si>
  <si>
    <t>· 채권잔액 = 대출원금 + 미수이자 + 연체이자</t>
  </si>
  <si>
    <t>· 수익권 비율 (%) = 본인 설정 (110~140 표준 · 기본 140)</t>
  </si>
  <si>
    <t>· 수익권금액 (자동값) = 최초 대출원금 × 수익권 비율%</t>
  </si>
  <si>
    <t>· 수익권금액 (적용값) = 직접 입력 가능 (비우면 자동값 적용 · 매도자 협상가/등기부 채권최고액 우선 시 사용)</t>
  </si>
  <si>
    <t>· 매각가 옵션 A = 대출원금 × (1 − 할인율 A/100)</t>
  </si>
  <si>
    <t>· 매각가 옵션 B = 채권잔액 × (1 − 할인율 B/100)</t>
  </si>
  <si>
    <t>· 계약금 = 매각 희망가 × 10%</t>
  </si>
  <si>
    <t>· LTV (%) = (선순위 채권총액 + 대출원금) ÷ 감정가 × 100</t>
  </si>
  <si>
    <t>· 권리관계 기초점수 (시트 2) = MAX(20, 100 + Σ(O 표시 행의 감점))</t>
  </si>
  <si>
    <t>3. 단일/복수 선택</t>
  </si>
  <si>
    <t>· 시도·기관유형·담보종류·전속계약·채무자유형·매각기준 → 단일 선택 (드롭다운)</t>
  </si>
  <si>
    <t>· 매각방식(엔플랫폼·경매·공매·기타) → 각 행별 O/X 체크 (복수 선택 가능)</t>
  </si>
  <si>
    <t>· 특수조건 18항목 → 각 행별 O/X 체크 (복수 해당 시 모두 O)</t>
  </si>
  <si>
    <t>· 필요서류 · 사진 → 각 행별 O/X 체크 (제공 여부)</t>
  </si>
  <si>
    <t>4. 자유 입력 규칙</t>
  </si>
  <si>
    <t>· 금액: 원 단위 숫자. 쉼표 허용. 단위(억·만) 표기 금지. 예: 1,648,045,960</t>
  </si>
  <si>
    <t>· 날짜: YYYY-MM-DD 고정. 예: 2026-04-28</t>
  </si>
  <si>
    <t>· 면적: ㎡ 단위 숫자. 평 환산값 입력 금지</t>
  </si>
  <si>
    <t>· 비율: % 소수. 예: 4.5</t>
  </si>
  <si>
    <t>5. NPL 매각가 산정 가이드</t>
  </si>
  <si>
    <t>· 케이스 A — 대출원금 기준 매각: 매각 기준 = "대출원금 기준 (PRINCIPAL)" · 할인율 A 입력 (할인율 B 빈칸)</t>
  </si>
  <si>
    <t xml:space="preserve">   예) 대출원금 16.48억 × (1 − 5%) = 15.66억 매각</t>
  </si>
  <si>
    <t>· 케이스 B — 채권잔액 기준 매각: 매각 기준 = "채권잔액 기준 (CLAIM_BALANCE)" · 할인율 B 입력 (할인율 A 빈칸)</t>
  </si>
  <si>
    <t xml:space="preserve">   예) 채권잔액 17.29억 × 100% (할인 0%) = 17.29억 매각</t>
  </si>
  <si>
    <t>· 매각 희망가 = 옵션 A 또는 B 중 매도자 결정값 (이 값이 거래소·분석에 노출됨)</t>
  </si>
  <si>
    <t>6. OCR 파싱 규격</t>
  </si>
  <si>
    <t>· 시트명 "[시트 N] ..." 형식 고정 → 시트 식별자</t>
  </si>
  <si>
    <t>· 시트 1 : A 열 라벨 · B 열 값. 섹션 머리 (네이비 배경) 기준 그룹화</t>
  </si>
  <si>
    <t xml:space="preserve">           드롭다운 셀 값 → 문자열 그대로 파싱 (괄호 안 영문 코드 추출: PRINCIPAL/CLAIM_BALANCE 등)</t>
  </si>
  <si>
    <t xml:space="preserve">           수식 셀 → 계산된 값(value) 추출 (formula 무시)</t>
  </si>
  <si>
    <t xml:space="preserve">           O/X 체크 셀 → "O" · "해당" → true, 나머지 → false</t>
  </si>
  <si>
    <t>· 시트 2 : 18항목 각 행의 D 열(체크 O/X) 만 읽어 V2 key 매핑</t>
  </si>
  <si>
    <t>· 시트 3 : 각 행의 D 열(제공 O/X) → provided_fields 자동 생성</t>
  </si>
  <si>
    <t>7. 제출 방법</t>
  </si>
  <si>
    <t>· 엑셀 + 사진·서류 폴더를 압축해 NPLatform 담당자에게 전달</t>
  </si>
  <si>
    <t>· 접수 후 1~2 영업일 내 OCR 파싱 결과를 매도자에게 미리보기로 송부</t>
  </si>
  <si>
    <t>8. 수수료 정책 (Phase G6+)</t>
  </si>
  <si>
    <t>· 일반 매물    : 0.5% ~ 0.9% 범위에서 자유 설정</t>
  </si>
  <si>
    <t>· 전속 계약   : 0.3% 자동 적용 + 조선일보 땅집고 기사 지원</t>
  </si>
  <si>
    <t>9. 버전 이력</t>
  </si>
  <si>
    <t>· v1.0 (2026-04-24) · 초기 · 자유입력 기반</t>
  </si>
  <si>
    <t>· v2.0 (2026-04-24) · 체크박스 ☐ 행렬 방식</t>
  </si>
  <si>
    <t>· v3.0 (2026-04-24) · 드롭다운(단일) + O/X 체크(이분) · ExcelJS Data Validation</t>
  </si>
  <si>
    <t>· v3.2 (2026-04-28) · 자동계산 수식 추가 (채권잔액·수익권금액·매각가A/B·LTV·권리관계점수)</t>
  </si>
  <si>
    <t xml:space="preserve">                       · 신규 필드 (최초 대출원금·매각 기준·할인율 A/B·연체이자·1순위 권리자/채권최고액)</t>
  </si>
  <si>
    <t>· v3.3 (2026-04-28) · 수익권 비율 (%) 사용자 설정 + 수익권금액 직접 입력 옵션 (자동값 참고용 분리)</t>
  </si>
  <si>
    <t>10. 문의</t>
  </si>
  <si>
    <t>· NPLatform 운영팀 / biz@transfarmer.co.kr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</si>
</sst>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1B3A5C"/>
      <sz val="13"/>
    </font>
    <font>
      <b/>
      <color rgb="FFFFFFFF"/>
      <sz val="10"/>
    </font>
    <font>
      <color rgb="FF64748B"/>
      <sz val="9"/>
    </font>
    <font>
      <b/>
      <color rgb="FFFFFFFF"/>
      <sz val="11"/>
    </font>
    <font>
      <b/>
      <color rgb="FF14161A"/>
      <sz val="10"/>
    </font>
    <font>
      <sz val="10"/>
    </font>
    <font>
      <b/>
      <i/>
      <color rgb="FF1B3A5C"/>
      <sz val="10"/>
    </font>
    <font>
      <b/>
      <color rgb="FFFFFFFF"/>
    </font>
    <font>
      <b/>
      <color rgb="FFB91C1C"/>
      <sz val="10"/>
    </font>
    <font>
      <b/>
      <i/>
      <color rgb="FF1B3A5C"/>
      <sz val="12"/>
    </font>
    <font>
      <b/>
      <color rgb="FF64748B"/>
      <sz val="10"/>
    </font>
    <font>
      <b/>
      <i/>
      <color rgb="FF14161A"/>
    </font>
    <font>
      <color rgb="FF475569"/>
      <sz val="10"/>
    </font>
    <font>
      <b/>
      <color rgb="FF14161A"/>
      <sz val="11"/>
    </font>
    <font>
      <color rgb="FF334155"/>
      <sz val="10"/>
    </font>
  </fonts>
  <fills count="9">
    <fill>
      <patternFill patternType="none"/>
    </fill>
    <fill>
      <patternFill patternType="gray125"/>
    </fill>
    <fill>
      <patternFill patternType="solid">
        <fgColor rgb="FF14161A"/>
      </patternFill>
    </fill>
    <fill>
      <patternFill patternType="solid">
        <fgColor rgb="FFF8FAFC"/>
      </patternFill>
    </fill>
    <fill>
      <patternFill patternType="solid">
        <fgColor rgb="FF1B3A5C"/>
      </patternFill>
    </fill>
    <fill>
      <patternFill patternType="solid">
        <fgColor rgb="FFFFF9E6"/>
      </patternFill>
    </fill>
    <fill>
      <patternFill patternType="solid">
        <fgColor rgb="FFE6F0FF"/>
      </patternFill>
    </fill>
    <fill>
      <patternFill patternType="solid">
        <fgColor rgb="FFF1F5F9"/>
      </patternFill>
    </fill>
    <fill>
      <patternFill patternType="solid">
        <fgColor rgb="FFE6F7EE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wrapText="1"/>
    </xf>
    <xf numFmtId="0" fontId="4" fillId="4" borderId="0" xfId="0" applyFont="1" applyFill="1" applyAlignment="1">
      <alignment vertical="center" indent="1"/>
    </xf>
    <xf numFmtId="0" fontId="5" fillId="0" borderId="1" xfId="0" applyFont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0" fontId="5" fillId="6" borderId="1" xfId="0" applyFont="1" applyFill="1" applyBorder="1" applyAlignment="1">
      <alignment vertical="center"/>
    </xf>
    <xf numFmtId="3" fontId="6" fillId="5" borderId="1" xfId="0" applyNumberFormat="1" applyFont="1" applyFill="1" applyBorder="1" applyAlignment="1">
      <alignment vertical="center"/>
    </xf>
    <xf numFmtId="3" fontId="7" fillId="7" borderId="1" xfId="0" applyNumberFormat="1" applyFont="1" applyFill="1" applyBorder="1" applyAlignment="1">
      <alignment vertical="center"/>
    </xf>
    <xf numFmtId="2" fontId="6" fillId="5" borderId="1" xfId="0" applyNumberFormat="1" applyFont="1" applyFill="1" applyBorder="1" applyAlignment="1">
      <alignment vertical="center"/>
    </xf>
    <xf numFmtId="2" fontId="7" fillId="7" borderId="1" xfId="0" applyNumberFormat="1" applyFont="1" applyFill="1" applyBorder="1" applyAlignment="1">
      <alignment vertical="center"/>
    </xf>
    <xf numFmtId="0" fontId="5" fillId="8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" fontId="10" fillId="7" borderId="1" xfId="0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42" customWidth="1"/>
    <col min="3" max="3" width="56" customWidth="1"/>
  </cols>
  <sheetData>
    <row r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 t="s">
        <v>2</v>
      </c>
      <c r="C2" s="2" t="s">
        <v>3</v>
      </c>
    </row>
    <row r="3" spans="1:3" x14ac:dyDescent="0.25">
      <c r="A3" s="3" t="s">
        <v>4</v>
      </c>
      <c r="B3" s="3" t="s">
        <v>5</v>
      </c>
      <c r="C3" s="3" t="s">
        <v>6</v>
      </c>
    </row>
    <row r="4" spans="1:3" x14ac:dyDescent="0.25">
      <c r="A4" s="4" t="s">
        <v>7</v>
      </c>
      <c r="B4" s="4"/>
      <c r="C4" s="4"/>
    </row>
    <row r="5" spans="1:3" x14ac:dyDescent="0.25">
      <c r="A5" s="5" t="s">
        <v>8</v>
      </c>
      <c r="B5" s="6" t="s">
        <v>9</v>
      </c>
      <c r="C5" s="3" t="s">
        <v>10</v>
      </c>
    </row>
    <row r="6" spans="1:3" x14ac:dyDescent="0.25">
      <c r="A6" s="5" t="s">
        <v>11</v>
      </c>
      <c r="B6" s="7" t="s">
        <v>9</v>
      </c>
      <c r="C6" s="3" t="s">
        <v>12</v>
      </c>
    </row>
    <row r="7" spans="1:3" x14ac:dyDescent="0.25">
      <c r="A7" s="5" t="s">
        <v>13</v>
      </c>
      <c r="B7" s="7" t="s">
        <v>9</v>
      </c>
      <c r="C7" s="3" t="s">
        <v>14</v>
      </c>
    </row>
    <row r="8" spans="1:3" x14ac:dyDescent="0.25">
      <c r="A8" s="5" t="s">
        <v>15</v>
      </c>
      <c r="B8" s="7" t="s">
        <v>9</v>
      </c>
      <c r="C8" s="3" t="s">
        <v>16</v>
      </c>
    </row>
    <row r="10" spans="1:3" x14ac:dyDescent="0.25">
      <c r="A10" s="4" t="s">
        <v>17</v>
      </c>
      <c r="B10" s="4"/>
      <c r="C10" s="4"/>
    </row>
    <row r="11" spans="1:3" x14ac:dyDescent="0.25">
      <c r="A11" s="5" t="s">
        <v>18</v>
      </c>
      <c r="B11" s="7" t="s">
        <v>9</v>
      </c>
      <c r="C11" s="3" t="s">
        <v>19</v>
      </c>
    </row>
    <row r="12" spans="1:3" x14ac:dyDescent="0.25">
      <c r="A12" s="5" t="s">
        <v>20</v>
      </c>
      <c r="B12" s="7" t="s">
        <v>9</v>
      </c>
      <c r="C12" s="3" t="s">
        <v>21</v>
      </c>
    </row>
    <row r="13" spans="1:3" x14ac:dyDescent="0.25">
      <c r="A13" s="5" t="s">
        <v>22</v>
      </c>
      <c r="B13" s="6" t="s">
        <v>9</v>
      </c>
      <c r="C13" s="3" t="s">
        <v>23</v>
      </c>
    </row>
    <row r="14" spans="1:3" x14ac:dyDescent="0.25">
      <c r="A14" s="5" t="s">
        <v>24</v>
      </c>
      <c r="B14" s="6" t="s">
        <v>9</v>
      </c>
      <c r="C14" s="3" t="s">
        <v>25</v>
      </c>
    </row>
    <row r="15" spans="1:3" x14ac:dyDescent="0.25">
      <c r="A15" s="5" t="s">
        <v>26</v>
      </c>
      <c r="B15" s="8" t="s">
        <v>9</v>
      </c>
      <c r="C15" s="3" t="s">
        <v>27</v>
      </c>
    </row>
    <row r="16" spans="1:3" x14ac:dyDescent="0.25">
      <c r="A16" s="5" t="s">
        <v>28</v>
      </c>
      <c r="B16" s="6" t="s">
        <v>9</v>
      </c>
      <c r="C16" s="3" t="s">
        <v>29</v>
      </c>
    </row>
    <row r="18" spans="1:3" x14ac:dyDescent="0.25">
      <c r="A18" s="4" t="s">
        <v>30</v>
      </c>
      <c r="B18" s="4"/>
      <c r="C18" s="4"/>
    </row>
    <row r="19" spans="1:3" x14ac:dyDescent="0.25">
      <c r="A19" s="5" t="s">
        <v>31</v>
      </c>
      <c r="B19" s="7" t="s">
        <v>9</v>
      </c>
      <c r="C19" s="3" t="s">
        <v>32</v>
      </c>
    </row>
    <row r="20" spans="1:3" x14ac:dyDescent="0.25">
      <c r="A20" s="5" t="s">
        <v>33</v>
      </c>
      <c r="B20" s="7" t="s">
        <v>9</v>
      </c>
      <c r="C20" s="3" t="s">
        <v>34</v>
      </c>
    </row>
    <row r="22" spans="1:3" x14ac:dyDescent="0.25">
      <c r="A22" s="4" t="s">
        <v>35</v>
      </c>
      <c r="B22" s="4"/>
      <c r="C22" s="4"/>
    </row>
    <row r="23" spans="1:3" x14ac:dyDescent="0.25">
      <c r="A23" s="5" t="s">
        <v>36</v>
      </c>
      <c r="B23" s="8" t="s">
        <v>9</v>
      </c>
      <c r="C23" s="3" t="s">
        <v>37</v>
      </c>
    </row>
    <row r="24" spans="1:3" x14ac:dyDescent="0.25">
      <c r="A24" s="5" t="s">
        <v>38</v>
      </c>
      <c r="B24" s="8" t="s">
        <v>9</v>
      </c>
      <c r="C24" s="3" t="s">
        <v>39</v>
      </c>
    </row>
    <row r="25" spans="1:3" x14ac:dyDescent="0.25">
      <c r="A25" s="5" t="s">
        <v>40</v>
      </c>
      <c r="B25" s="8" t="s">
        <v>9</v>
      </c>
      <c r="C25" s="3" t="s">
        <v>41</v>
      </c>
    </row>
    <row r="26" spans="1:3" x14ac:dyDescent="0.25">
      <c r="A26" s="5" t="s">
        <v>42</v>
      </c>
      <c r="B26" s="8" t="s">
        <v>9</v>
      </c>
      <c r="C26" s="3" t="s">
        <v>43</v>
      </c>
    </row>
    <row r="27" spans="1:3" x14ac:dyDescent="0.25">
      <c r="A27" s="5" t="s">
        <v>44</v>
      </c>
      <c r="B27" s="9">
        <f>B24+B25+B26</f>
      </c>
      <c r="C27" s="3" t="s">
        <v>45</v>
      </c>
    </row>
    <row r="28" spans="1:3" x14ac:dyDescent="0.25">
      <c r="A28" s="5" t="s">
        <v>46</v>
      </c>
      <c r="B28" s="10">
        <v>140</v>
      </c>
      <c r="C28" s="3" t="s">
        <v>47</v>
      </c>
    </row>
    <row r="29" spans="1:3" x14ac:dyDescent="0.25">
      <c r="A29" s="5" t="s">
        <v>48</v>
      </c>
      <c r="B29" s="9">
        <f>B23*B28/100</f>
      </c>
      <c r="C29" s="3" t="s">
        <v>49</v>
      </c>
    </row>
    <row r="30" spans="1:3" x14ac:dyDescent="0.25">
      <c r="A30" s="5" t="s">
        <v>50</v>
      </c>
      <c r="B30" s="8" t="s">
        <v>9</v>
      </c>
      <c r="C30" s="3" t="s">
        <v>51</v>
      </c>
    </row>
    <row r="31" spans="1:3" x14ac:dyDescent="0.25">
      <c r="A31" s="5" t="s">
        <v>52</v>
      </c>
      <c r="B31" s="6" t="s">
        <v>9</v>
      </c>
      <c r="C31" s="3" t="s">
        <v>53</v>
      </c>
    </row>
    <row r="32" spans="1:3" x14ac:dyDescent="0.25">
      <c r="A32" s="5" t="s">
        <v>54</v>
      </c>
      <c r="B32" s="10" t="s">
        <v>9</v>
      </c>
      <c r="C32" s="3" t="s">
        <v>55</v>
      </c>
    </row>
    <row r="33" spans="1:3" x14ac:dyDescent="0.25">
      <c r="A33" s="5" t="s">
        <v>56</v>
      </c>
      <c r="B33" s="10" t="s">
        <v>9</v>
      </c>
      <c r="C33" s="3" t="s">
        <v>57</v>
      </c>
    </row>
    <row r="35" spans="1:3" x14ac:dyDescent="0.25">
      <c r="A35" s="4" t="s">
        <v>58</v>
      </c>
      <c r="B35" s="4"/>
      <c r="C35" s="4"/>
    </row>
    <row r="36" spans="1:3" x14ac:dyDescent="0.25">
      <c r="A36" s="5" t="s">
        <v>59</v>
      </c>
      <c r="B36" s="8" t="s">
        <v>9</v>
      </c>
      <c r="C36" s="3" t="s">
        <v>60</v>
      </c>
    </row>
    <row r="37" spans="1:3" x14ac:dyDescent="0.25">
      <c r="A37" s="5" t="s">
        <v>61</v>
      </c>
      <c r="B37" s="6" t="s">
        <v>9</v>
      </c>
      <c r="C37" s="3" t="s">
        <v>53</v>
      </c>
    </row>
    <row r="38" spans="1:3" x14ac:dyDescent="0.25">
      <c r="A38" s="5" t="s">
        <v>62</v>
      </c>
      <c r="B38" s="8" t="s">
        <v>9</v>
      </c>
      <c r="C38" s="3" t="s">
        <v>63</v>
      </c>
    </row>
    <row r="39" spans="1:3" x14ac:dyDescent="0.25">
      <c r="A39" s="5" t="s">
        <v>64</v>
      </c>
      <c r="B39" s="6" t="s">
        <v>9</v>
      </c>
      <c r="C39" s="3" t="s">
        <v>65</v>
      </c>
    </row>
    <row r="40" spans="1:3" x14ac:dyDescent="0.25">
      <c r="A40" s="5" t="s">
        <v>66</v>
      </c>
      <c r="B40" s="6" t="s">
        <v>9</v>
      </c>
      <c r="C40" s="3" t="s">
        <v>67</v>
      </c>
    </row>
    <row r="41" spans="1:3" x14ac:dyDescent="0.25">
      <c r="A41" s="5" t="s">
        <v>68</v>
      </c>
      <c r="B41" s="6" t="s">
        <v>9</v>
      </c>
      <c r="C41" s="3" t="s">
        <v>67</v>
      </c>
    </row>
    <row r="43" spans="1:3" x14ac:dyDescent="0.25">
      <c r="A43" s="4" t="s">
        <v>69</v>
      </c>
      <c r="B43" s="4"/>
      <c r="C43" s="4"/>
    </row>
    <row r="44" spans="1:3" x14ac:dyDescent="0.25">
      <c r="A44" s="5" t="s">
        <v>70</v>
      </c>
      <c r="B44" s="6" t="s">
        <v>9</v>
      </c>
      <c r="C44" s="3" t="s">
        <v>71</v>
      </c>
    </row>
    <row r="45" spans="1:3" x14ac:dyDescent="0.25">
      <c r="A45" s="5" t="s">
        <v>72</v>
      </c>
      <c r="B45" s="8" t="s">
        <v>9</v>
      </c>
      <c r="C45" s="3" t="s">
        <v>73</v>
      </c>
    </row>
    <row r="46" spans="1:3" x14ac:dyDescent="0.25">
      <c r="A46" s="5" t="s">
        <v>74</v>
      </c>
      <c r="B46" s="8" t="s">
        <v>9</v>
      </c>
      <c r="C46" s="3" t="s">
        <v>75</v>
      </c>
    </row>
    <row r="47" spans="1:3" x14ac:dyDescent="0.25">
      <c r="A47" s="5" t="s">
        <v>76</v>
      </c>
      <c r="B47" s="11">
        <f>IFERROR((B46+B24)/B36*100, "")</f>
      </c>
      <c r="C47" s="3" t="s">
        <v>77</v>
      </c>
    </row>
    <row r="48" spans="1:3" x14ac:dyDescent="0.25">
      <c r="A48" s="5" t="s">
        <v>78</v>
      </c>
      <c r="B48" s="6" t="s">
        <v>9</v>
      </c>
      <c r="C48" s="3" t="s">
        <v>79</v>
      </c>
    </row>
    <row r="49" spans="1:3" x14ac:dyDescent="0.25">
      <c r="A49" s="5" t="s">
        <v>80</v>
      </c>
      <c r="B49" s="8" t="s">
        <v>9</v>
      </c>
      <c r="C49" s="3" t="s">
        <v>9</v>
      </c>
    </row>
    <row r="50" spans="1:3" x14ac:dyDescent="0.25">
      <c r="A50" s="5" t="s">
        <v>81</v>
      </c>
      <c r="B50" s="8" t="s">
        <v>9</v>
      </c>
      <c r="C50" s="3" t="s">
        <v>9</v>
      </c>
    </row>
    <row r="51" spans="1:3" x14ac:dyDescent="0.25">
      <c r="A51" s="5" t="s">
        <v>82</v>
      </c>
      <c r="B51" s="6" t="s">
        <v>9</v>
      </c>
      <c r="C51" s="3" t="s">
        <v>83</v>
      </c>
    </row>
    <row r="53" spans="1:3" x14ac:dyDescent="0.25">
      <c r="A53" s="4" t="s">
        <v>84</v>
      </c>
      <c r="B53" s="4"/>
      <c r="C53" s="4"/>
    </row>
    <row r="54" spans="1:3" x14ac:dyDescent="0.25">
      <c r="A54" s="5" t="s">
        <v>85</v>
      </c>
      <c r="B54" s="7" t="s">
        <v>9</v>
      </c>
      <c r="C54" s="3" t="s">
        <v>86</v>
      </c>
    </row>
    <row r="55" spans="1:3" x14ac:dyDescent="0.25">
      <c r="A55" s="5" t="s">
        <v>87</v>
      </c>
      <c r="B55" s="10" t="s">
        <v>9</v>
      </c>
      <c r="C55" s="3" t="s">
        <v>88</v>
      </c>
    </row>
    <row r="56" spans="1:3" x14ac:dyDescent="0.25">
      <c r="A56" s="5" t="s">
        <v>89</v>
      </c>
      <c r="B56" s="10" t="s">
        <v>9</v>
      </c>
      <c r="C56" s="3" t="s">
        <v>90</v>
      </c>
    </row>
    <row r="57" spans="1:3" x14ac:dyDescent="0.25">
      <c r="A57" s="5" t="s">
        <v>91</v>
      </c>
      <c r="B57" s="9">
        <f>B24*(1-B55/100)</f>
      </c>
      <c r="C57" s="3" t="s">
        <v>92</v>
      </c>
    </row>
    <row r="58" spans="1:3" x14ac:dyDescent="0.25">
      <c r="A58" s="5" t="s">
        <v>93</v>
      </c>
      <c r="B58" s="9">
        <f>B27*(1-B56/100)</f>
      </c>
      <c r="C58" s="3" t="s">
        <v>94</v>
      </c>
    </row>
    <row r="59" spans="1:3" x14ac:dyDescent="0.25">
      <c r="A59" s="5" t="s">
        <v>95</v>
      </c>
      <c r="B59" s="8" t="s">
        <v>9</v>
      </c>
      <c r="C59" s="3" t="s">
        <v>96</v>
      </c>
    </row>
    <row r="60" spans="1:3" x14ac:dyDescent="0.25">
      <c r="A60" s="5" t="s">
        <v>97</v>
      </c>
      <c r="B60" s="9">
        <f>B59*0.1</f>
      </c>
      <c r="C60" s="3" t="s">
        <v>98</v>
      </c>
    </row>
    <row r="61" spans="1:3" x14ac:dyDescent="0.25">
      <c r="A61" s="5" t="s">
        <v>99</v>
      </c>
      <c r="B61" s="12" t="s">
        <v>9</v>
      </c>
      <c r="C61" s="3" t="s">
        <v>100</v>
      </c>
    </row>
    <row r="62" spans="1:3" x14ac:dyDescent="0.25">
      <c r="A62" s="5" t="s">
        <v>101</v>
      </c>
      <c r="B62" s="12" t="s">
        <v>9</v>
      </c>
      <c r="C62" s="3" t="s">
        <v>100</v>
      </c>
    </row>
    <row r="63" spans="1:3" x14ac:dyDescent="0.25">
      <c r="A63" s="5" t="s">
        <v>102</v>
      </c>
      <c r="B63" s="12" t="s">
        <v>9</v>
      </c>
      <c r="C63" s="3" t="s">
        <v>100</v>
      </c>
    </row>
    <row r="64" spans="1:3" x14ac:dyDescent="0.25">
      <c r="A64" s="5" t="s">
        <v>103</v>
      </c>
      <c r="B64" s="12" t="s">
        <v>9</v>
      </c>
      <c r="C64" s="3" t="s">
        <v>104</v>
      </c>
    </row>
    <row r="65" spans="1:3" x14ac:dyDescent="0.25">
      <c r="A65" s="5" t="s">
        <v>105</v>
      </c>
      <c r="B65" s="6" t="s">
        <v>9</v>
      </c>
      <c r="C65" s="3" t="s">
        <v>106</v>
      </c>
    </row>
    <row r="66" spans="1:3" x14ac:dyDescent="0.25">
      <c r="A66" s="5" t="s">
        <v>107</v>
      </c>
      <c r="B66" s="10" t="s">
        <v>9</v>
      </c>
      <c r="C66" s="3" t="s">
        <v>108</v>
      </c>
    </row>
  </sheetData>
  <mergeCells count="8">
    <mergeCell ref="A1:C1"/>
    <mergeCell ref="A4:C4"/>
    <mergeCell ref="A10:C10"/>
    <mergeCell ref="A18:C18"/>
    <mergeCell ref="A22:C22"/>
    <mergeCell ref="A35:C35"/>
    <mergeCell ref="A43:C43"/>
    <mergeCell ref="A53:C53"/>
  </mergeCells>
  <dataValidations count="9">
    <dataValidation type="list" allowBlank="1" sqref="B11">
      <formula1>"아파트,오피스텔,다세대,단독주택,상가,오피스,토지,공장,호텔,기타"</formula1>
    </dataValidation>
    <dataValidation type="list" allowBlank="1" sqref="B12">
      <formula1>"서울특별시,부산광역시,대구광역시,인천광역시,광주광역시,대전광역시,울산광역시,세종특별자치시,경기도,강원특별자치도,충청북도,충청남도,전북특별자치도,전라남도,경상북도,경상남도,제주특별자치도"</formula1>
    </dataValidation>
    <dataValidation type="list" allowBlank="1" sqref="B19">
      <formula1>"INDIVIDUAL (개인 · 질권 LTV 75%),CORPORATE (법인 · 질권 LTV 90%)"</formula1>
    </dataValidation>
    <dataValidation type="list" allowBlank="1" sqref="B20">
      <formula1>"동일인 (채무자 = 소유자),다름 (물상보증·제3자 담보)"</formula1>
    </dataValidation>
    <dataValidation type="list" allowBlank="1" sqref="B54">
      <formula1>"대출원금 기준 (PRINCIPAL),채권잔액 기준 (CLAIM_BALANCE)"</formula1>
    </dataValidation>
    <dataValidation type="list" allowBlank="1" sqref="B6">
      <formula1>"은행,저축은행,AMC,캐피탈,카드,보험,신협,새마을,신탁,대부업,기타"</formula1>
    </dataValidation>
    <dataValidation type="list" allowBlank="1" sqref="B61:B64">
      <formula1>"O (해당),X (비해당)"</formula1>
    </dataValidation>
    <dataValidation type="list" allowBlank="1" sqref="B7">
      <formula1>"NPL (부실채권),GENERAL (일반 부동산)"</formula1>
    </dataValidation>
    <dataValidation type="list" allowBlank="1" sqref="B8">
      <formula1>"전속 ON (수수료 0.3% + 땅집고 기사 지원),전속 OFF (0.5%~0.9% 자유)"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8" customWidth="1"/>
    <col min="4" max="4" width="14" customWidth="1"/>
    <col min="5" max="5" width="52" customWidth="1"/>
  </cols>
  <sheetData>
    <row r="1" spans="1:5" x14ac:dyDescent="0.25">
      <c r="A1" s="1" t="s">
        <v>109</v>
      </c>
      <c r="B1" s="1"/>
      <c r="C1" s="1"/>
      <c r="D1" s="1"/>
      <c r="E1" s="1"/>
    </row>
    <row r="2" spans="1:5" x14ac:dyDescent="0.25">
      <c r="A2" s="3" t="s">
        <v>110</v>
      </c>
      <c r="B2" s="3"/>
      <c r="C2" s="3"/>
      <c r="D2" s="3"/>
      <c r="E2" s="3"/>
    </row>
    <row r="3" spans="1:5" x14ac:dyDescent="0.25">
      <c r="A3" s="13" t="s">
        <v>111</v>
      </c>
      <c r="B3" s="13" t="s">
        <v>112</v>
      </c>
      <c r="C3" s="13" t="s">
        <v>113</v>
      </c>
      <c r="D3" s="13" t="s">
        <v>114</v>
      </c>
      <c r="E3" s="13" t="s">
        <v>115</v>
      </c>
    </row>
    <row r="4" spans="1:5" x14ac:dyDescent="0.25">
      <c r="A4" s="5" t="s">
        <v>116</v>
      </c>
      <c r="B4" s="5" t="s">
        <v>117</v>
      </c>
      <c r="C4" s="14">
        <v>-60</v>
      </c>
      <c r="D4" s="12" t="s">
        <v>9</v>
      </c>
      <c r="E4" s="3" t="s">
        <v>118</v>
      </c>
    </row>
    <row r="5" spans="1:5" x14ac:dyDescent="0.25">
      <c r="A5" s="5" t="s">
        <v>116</v>
      </c>
      <c r="B5" s="5" t="s">
        <v>119</v>
      </c>
      <c r="C5" s="14">
        <v>-50</v>
      </c>
      <c r="D5" s="12" t="s">
        <v>9</v>
      </c>
      <c r="E5" s="3" t="s">
        <v>120</v>
      </c>
    </row>
    <row r="6" spans="1:5" x14ac:dyDescent="0.25">
      <c r="A6" s="5" t="s">
        <v>116</v>
      </c>
      <c r="B6" s="5" t="s">
        <v>121</v>
      </c>
      <c r="C6" s="14">
        <v>-45</v>
      </c>
      <c r="D6" s="12" t="s">
        <v>9</v>
      </c>
      <c r="E6" s="3" t="s">
        <v>122</v>
      </c>
    </row>
    <row r="7" spans="1:5" x14ac:dyDescent="0.25">
      <c r="A7" s="5" t="s">
        <v>116</v>
      </c>
      <c r="B7" s="5" t="s">
        <v>123</v>
      </c>
      <c r="C7" s="14">
        <v>-45</v>
      </c>
      <c r="D7" s="12" t="s">
        <v>9</v>
      </c>
      <c r="E7" s="3" t="s">
        <v>124</v>
      </c>
    </row>
    <row r="8" spans="1:5" x14ac:dyDescent="0.25">
      <c r="A8" s="5" t="s">
        <v>116</v>
      </c>
      <c r="B8" s="5" t="s">
        <v>125</v>
      </c>
      <c r="C8" s="14">
        <v>-40</v>
      </c>
      <c r="D8" s="12" t="s">
        <v>9</v>
      </c>
      <c r="E8" s="3" t="s">
        <v>126</v>
      </c>
    </row>
    <row r="9" spans="1:5" x14ac:dyDescent="0.25">
      <c r="A9" s="5" t="s">
        <v>127</v>
      </c>
      <c r="B9" s="5" t="s">
        <v>128</v>
      </c>
      <c r="C9" s="14">
        <v>-40</v>
      </c>
      <c r="D9" s="12" t="s">
        <v>9</v>
      </c>
      <c r="E9" s="3" t="s">
        <v>129</v>
      </c>
    </row>
    <row r="10" spans="1:5" x14ac:dyDescent="0.25">
      <c r="A10" s="5" t="s">
        <v>127</v>
      </c>
      <c r="B10" s="5" t="s">
        <v>130</v>
      </c>
      <c r="C10" s="14">
        <v>-35</v>
      </c>
      <c r="D10" s="12" t="s">
        <v>9</v>
      </c>
      <c r="E10" s="3" t="s">
        <v>131</v>
      </c>
    </row>
    <row r="11" spans="1:5" x14ac:dyDescent="0.25">
      <c r="A11" s="5" t="s">
        <v>127</v>
      </c>
      <c r="B11" s="5" t="s">
        <v>132</v>
      </c>
      <c r="C11" s="14">
        <v>-30</v>
      </c>
      <c r="D11" s="12" t="s">
        <v>9</v>
      </c>
      <c r="E11" s="3" t="s">
        <v>133</v>
      </c>
    </row>
    <row r="12" spans="1:5" x14ac:dyDescent="0.25">
      <c r="A12" s="5" t="s">
        <v>127</v>
      </c>
      <c r="B12" s="5" t="s">
        <v>134</v>
      </c>
      <c r="C12" s="14">
        <v>-30</v>
      </c>
      <c r="D12" s="12" t="s">
        <v>9</v>
      </c>
      <c r="E12" s="3" t="s">
        <v>135</v>
      </c>
    </row>
    <row r="13" spans="1:5" x14ac:dyDescent="0.25">
      <c r="A13" s="5" t="s">
        <v>127</v>
      </c>
      <c r="B13" s="5" t="s">
        <v>136</v>
      </c>
      <c r="C13" s="14">
        <v>-30</v>
      </c>
      <c r="D13" s="12" t="s">
        <v>9</v>
      </c>
      <c r="E13" s="3" t="s">
        <v>137</v>
      </c>
    </row>
    <row r="14" spans="1:5" x14ac:dyDescent="0.25">
      <c r="A14" s="5" t="s">
        <v>127</v>
      </c>
      <c r="B14" s="5" t="s">
        <v>138</v>
      </c>
      <c r="C14" s="14">
        <v>-20</v>
      </c>
      <c r="D14" s="12" t="s">
        <v>9</v>
      </c>
      <c r="E14" s="3" t="s">
        <v>139</v>
      </c>
    </row>
    <row r="15" spans="1:5" x14ac:dyDescent="0.25">
      <c r="A15" s="5" t="s">
        <v>127</v>
      </c>
      <c r="B15" s="5" t="s">
        <v>140</v>
      </c>
      <c r="C15" s="14">
        <v>-18</v>
      </c>
      <c r="D15" s="12" t="s">
        <v>9</v>
      </c>
      <c r="E15" s="3" t="s">
        <v>141</v>
      </c>
    </row>
    <row r="16" spans="1:5" x14ac:dyDescent="0.25">
      <c r="A16" s="5" t="s">
        <v>142</v>
      </c>
      <c r="B16" s="5" t="s">
        <v>143</v>
      </c>
      <c r="C16" s="14">
        <v>-45</v>
      </c>
      <c r="D16" s="12" t="s">
        <v>9</v>
      </c>
      <c r="E16" s="3" t="s">
        <v>144</v>
      </c>
    </row>
    <row r="17" spans="1:5" x14ac:dyDescent="0.25">
      <c r="A17" s="5" t="s">
        <v>142</v>
      </c>
      <c r="B17" s="5" t="s">
        <v>145</v>
      </c>
      <c r="C17" s="14">
        <v>-35</v>
      </c>
      <c r="D17" s="12" t="s">
        <v>9</v>
      </c>
      <c r="E17" s="3" t="s">
        <v>146</v>
      </c>
    </row>
    <row r="18" spans="1:5" x14ac:dyDescent="0.25">
      <c r="A18" s="5" t="s">
        <v>142</v>
      </c>
      <c r="B18" s="5" t="s">
        <v>147</v>
      </c>
      <c r="C18" s="14">
        <v>-30</v>
      </c>
      <c r="D18" s="12" t="s">
        <v>9</v>
      </c>
      <c r="E18" s="3" t="s">
        <v>148</v>
      </c>
    </row>
    <row r="19" spans="1:5" x14ac:dyDescent="0.25">
      <c r="A19" s="5" t="s">
        <v>142</v>
      </c>
      <c r="B19" s="5" t="s">
        <v>149</v>
      </c>
      <c r="C19" s="14">
        <v>-30</v>
      </c>
      <c r="D19" s="12" t="s">
        <v>9</v>
      </c>
      <c r="E19" s="3" t="s">
        <v>150</v>
      </c>
    </row>
    <row r="20" spans="1:5" x14ac:dyDescent="0.25">
      <c r="A20" s="5" t="s">
        <v>142</v>
      </c>
      <c r="B20" s="5" t="s">
        <v>151</v>
      </c>
      <c r="C20" s="14">
        <v>-25</v>
      </c>
      <c r="D20" s="12" t="s">
        <v>9</v>
      </c>
      <c r="E20" s="3" t="s">
        <v>152</v>
      </c>
    </row>
    <row r="21" spans="1:5" x14ac:dyDescent="0.25">
      <c r="A21" s="5" t="s">
        <v>142</v>
      </c>
      <c r="B21" s="5" t="s">
        <v>153</v>
      </c>
      <c r="C21" s="14">
        <v>-20</v>
      </c>
      <c r="D21" s="12" t="s">
        <v>9</v>
      </c>
      <c r="E21" s="3" t="s">
        <v>154</v>
      </c>
    </row>
    <row r="23" spans="1:5" x14ac:dyDescent="0.25">
      <c r="A23" s="5" t="s">
        <v>155</v>
      </c>
      <c r="B23" s="5" t="s">
        <v>156</v>
      </c>
      <c r="C23" t="s">
        <v>9</v>
      </c>
      <c r="D23" s="15">
        <f>MAX(20, 100 + SUMPRODUCT((D4:D21="O (해당)")*C4:C21))</f>
      </c>
      <c r="E23" s="3" t="s">
        <v>157</v>
      </c>
    </row>
  </sheetData>
  <mergeCells count="2">
    <mergeCell ref="A1:E1"/>
    <mergeCell ref="A2:E2"/>
  </mergeCells>
  <dataValidations count="2">
    <dataValidation type="list" allowBlank="1" sqref="D10:D21">
      <formula1>"O (해당),X (비해당)"</formula1>
    </dataValidation>
    <dataValidation type="list" allowBlank="1" sqref="D4:D21">
      <formula1>"O (해당),X (비해당)"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42" customWidth="1"/>
    <col min="3" max="3" width="12" customWidth="1"/>
    <col min="4" max="4" width="16" customWidth="1"/>
    <col min="5" max="5" width="48" customWidth="1"/>
  </cols>
  <sheetData>
    <row r="1" spans="1:5" x14ac:dyDescent="0.25">
      <c r="A1" s="1" t="s">
        <v>158</v>
      </c>
      <c r="B1" s="1"/>
      <c r="C1" s="1"/>
      <c r="D1" s="1"/>
      <c r="E1" s="1"/>
    </row>
    <row r="2" spans="1:5" x14ac:dyDescent="0.25">
      <c r="A2" s="3" t="s">
        <v>110</v>
      </c>
      <c r="B2" s="3"/>
      <c r="C2" s="3"/>
      <c r="D2" s="3"/>
      <c r="E2" s="3"/>
    </row>
    <row r="3" spans="1:5" x14ac:dyDescent="0.25">
      <c r="A3" s="13" t="s">
        <v>159</v>
      </c>
      <c r="B3" s="13" t="s">
        <v>160</v>
      </c>
      <c r="C3" s="13" t="s">
        <v>161</v>
      </c>
      <c r="D3" s="13" t="s">
        <v>162</v>
      </c>
      <c r="E3" s="13" t="s">
        <v>163</v>
      </c>
    </row>
    <row r="4" spans="1:5" x14ac:dyDescent="0.25">
      <c r="A4" s="5" t="s">
        <v>164</v>
      </c>
      <c r="B4" s="5" t="s">
        <v>165</v>
      </c>
      <c r="C4" s="16" t="s">
        <v>166</v>
      </c>
      <c r="D4" s="12" t="s">
        <v>9</v>
      </c>
      <c r="E4" s="6" t="s">
        <v>167</v>
      </c>
    </row>
    <row r="5" spans="1:5" x14ac:dyDescent="0.25">
      <c r="A5" s="5" t="s">
        <v>164</v>
      </c>
      <c r="B5" s="5" t="s">
        <v>168</v>
      </c>
      <c r="C5" s="16" t="s">
        <v>166</v>
      </c>
      <c r="D5" s="12" t="s">
        <v>9</v>
      </c>
      <c r="E5" s="6" t="s">
        <v>9</v>
      </c>
    </row>
    <row r="6" spans="1:5" x14ac:dyDescent="0.25">
      <c r="A6" s="5" t="s">
        <v>164</v>
      </c>
      <c r="B6" s="5" t="s">
        <v>169</v>
      </c>
      <c r="C6" s="14" t="s">
        <v>164</v>
      </c>
      <c r="D6" s="12" t="s">
        <v>9</v>
      </c>
      <c r="E6" s="6" t="s">
        <v>170</v>
      </c>
    </row>
    <row r="7" spans="1:5" x14ac:dyDescent="0.25">
      <c r="A7" s="5" t="s">
        <v>164</v>
      </c>
      <c r="B7" s="5" t="s">
        <v>171</v>
      </c>
      <c r="C7" s="16" t="s">
        <v>166</v>
      </c>
      <c r="D7" s="12" t="s">
        <v>9</v>
      </c>
      <c r="E7" s="6" t="s">
        <v>9</v>
      </c>
    </row>
    <row r="8" spans="1:5" x14ac:dyDescent="0.25">
      <c r="A8" s="5" t="s">
        <v>164</v>
      </c>
      <c r="B8" s="5" t="s">
        <v>172</v>
      </c>
      <c r="C8" s="16" t="s">
        <v>166</v>
      </c>
      <c r="D8" s="12" t="s">
        <v>9</v>
      </c>
      <c r="E8" s="6" t="s">
        <v>9</v>
      </c>
    </row>
    <row r="9" spans="1:5" x14ac:dyDescent="0.25">
      <c r="A9" s="5" t="s">
        <v>164</v>
      </c>
      <c r="B9" s="5" t="s">
        <v>173</v>
      </c>
      <c r="C9" s="16" t="s">
        <v>166</v>
      </c>
      <c r="D9" s="12" t="s">
        <v>9</v>
      </c>
      <c r="E9" s="6" t="s">
        <v>9</v>
      </c>
    </row>
    <row r="10" spans="1:5" x14ac:dyDescent="0.25">
      <c r="A10" s="5" t="s">
        <v>166</v>
      </c>
      <c r="B10" s="5" t="s">
        <v>174</v>
      </c>
      <c r="C10" s="16" t="s">
        <v>166</v>
      </c>
      <c r="D10" s="12" t="s">
        <v>9</v>
      </c>
      <c r="E10" s="6" t="s">
        <v>175</v>
      </c>
    </row>
    <row r="11" spans="1:5" x14ac:dyDescent="0.25">
      <c r="A11" s="5" t="s">
        <v>166</v>
      </c>
      <c r="B11" s="5" t="s">
        <v>176</v>
      </c>
      <c r="C11" s="16" t="s">
        <v>166</v>
      </c>
      <c r="D11" s="12" t="s">
        <v>9</v>
      </c>
      <c r="E11" s="6" t="s">
        <v>9</v>
      </c>
    </row>
    <row r="12" spans="1:5" x14ac:dyDescent="0.25">
      <c r="A12" s="5" t="s">
        <v>166</v>
      </c>
      <c r="B12" s="5" t="s">
        <v>177</v>
      </c>
      <c r="C12" s="16" t="s">
        <v>166</v>
      </c>
      <c r="D12" s="12" t="s">
        <v>9</v>
      </c>
      <c r="E12" s="6" t="s">
        <v>9</v>
      </c>
    </row>
    <row r="13" spans="1:5" x14ac:dyDescent="0.25">
      <c r="A13" s="5" t="s">
        <v>166</v>
      </c>
      <c r="B13" s="5" t="s">
        <v>178</v>
      </c>
      <c r="C13" s="16" t="s">
        <v>166</v>
      </c>
      <c r="D13" s="12" t="s">
        <v>9</v>
      </c>
      <c r="E13" s="6" t="s">
        <v>9</v>
      </c>
    </row>
    <row r="14" spans="1:5" x14ac:dyDescent="0.25">
      <c r="A14" s="5" t="s">
        <v>166</v>
      </c>
      <c r="B14" s="5" t="s">
        <v>179</v>
      </c>
      <c r="C14" s="16" t="s">
        <v>166</v>
      </c>
      <c r="D14" s="12" t="s">
        <v>9</v>
      </c>
      <c r="E14" s="6" t="s">
        <v>9</v>
      </c>
    </row>
    <row r="15" spans="1:5" x14ac:dyDescent="0.25">
      <c r="A15" s="5" t="s">
        <v>166</v>
      </c>
      <c r="B15" s="5" t="s">
        <v>180</v>
      </c>
      <c r="C15" s="16" t="s">
        <v>166</v>
      </c>
      <c r="D15" s="12" t="s">
        <v>9</v>
      </c>
      <c r="E15" s="6" t="s">
        <v>9</v>
      </c>
    </row>
    <row r="16" spans="1:5" x14ac:dyDescent="0.25">
      <c r="A16" s="5" t="s">
        <v>181</v>
      </c>
      <c r="B16" s="5" t="s">
        <v>182</v>
      </c>
      <c r="C16" s="16" t="s">
        <v>166</v>
      </c>
      <c r="D16" s="12" t="s">
        <v>9</v>
      </c>
      <c r="E16" s="6" t="s">
        <v>183</v>
      </c>
    </row>
    <row r="17" spans="1:5" x14ac:dyDescent="0.25">
      <c r="A17" s="5" t="s">
        <v>181</v>
      </c>
      <c r="B17" s="5" t="s">
        <v>184</v>
      </c>
      <c r="C17" s="16" t="s">
        <v>166</v>
      </c>
      <c r="D17" s="12" t="s">
        <v>9</v>
      </c>
      <c r="E17" s="6" t="s">
        <v>9</v>
      </c>
    </row>
    <row r="18" spans="1:5" x14ac:dyDescent="0.25">
      <c r="A18" s="5" t="s">
        <v>181</v>
      </c>
      <c r="B18" s="5" t="s">
        <v>185</v>
      </c>
      <c r="C18" s="16" t="s">
        <v>166</v>
      </c>
      <c r="D18" s="12" t="s">
        <v>9</v>
      </c>
      <c r="E18" s="6" t="s">
        <v>9</v>
      </c>
    </row>
    <row r="19" spans="1:5" x14ac:dyDescent="0.25">
      <c r="A19" s="5" t="s">
        <v>186</v>
      </c>
      <c r="B19" s="5" t="s">
        <v>187</v>
      </c>
      <c r="C19" s="16" t="s">
        <v>166</v>
      </c>
      <c r="D19" s="12" t="s">
        <v>9</v>
      </c>
      <c r="E19" s="6" t="s">
        <v>9</v>
      </c>
    </row>
    <row r="20" spans="1:5" x14ac:dyDescent="0.25">
      <c r="A20" s="5" t="s">
        <v>188</v>
      </c>
      <c r="B20" s="5" t="s">
        <v>189</v>
      </c>
      <c r="C20" s="14" t="s">
        <v>164</v>
      </c>
      <c r="D20" s="12" t="s">
        <v>9</v>
      </c>
      <c r="E20" s="6" t="s">
        <v>190</v>
      </c>
    </row>
    <row r="21" spans="1:5" x14ac:dyDescent="0.25">
      <c r="A21" s="5" t="s">
        <v>188</v>
      </c>
      <c r="B21" s="5" t="s">
        <v>191</v>
      </c>
      <c r="C21" s="16" t="s">
        <v>166</v>
      </c>
      <c r="D21" s="12" t="s">
        <v>9</v>
      </c>
      <c r="E21" s="6" t="s">
        <v>9</v>
      </c>
    </row>
    <row r="22" spans="1:5" x14ac:dyDescent="0.25">
      <c r="A22" s="5" t="s">
        <v>188</v>
      </c>
      <c r="B22" s="5" t="s">
        <v>192</v>
      </c>
      <c r="C22" s="16" t="s">
        <v>166</v>
      </c>
      <c r="D22" s="12" t="s">
        <v>9</v>
      </c>
      <c r="E22" s="6" t="s">
        <v>9</v>
      </c>
    </row>
    <row r="23" spans="1:5" x14ac:dyDescent="0.25">
      <c r="A23" s="5" t="s">
        <v>188</v>
      </c>
      <c r="B23" s="5" t="s">
        <v>193</v>
      </c>
      <c r="C23" s="16" t="s">
        <v>166</v>
      </c>
      <c r="D23" s="12" t="s">
        <v>9</v>
      </c>
      <c r="E23" s="6" t="s">
        <v>9</v>
      </c>
    </row>
    <row r="24" spans="1:5" x14ac:dyDescent="0.25">
      <c r="A24" s="5" t="s">
        <v>188</v>
      </c>
      <c r="B24" s="5" t="s">
        <v>194</v>
      </c>
      <c r="C24" s="16" t="s">
        <v>166</v>
      </c>
      <c r="D24" s="12" t="s">
        <v>9</v>
      </c>
      <c r="E24" s="6" t="s">
        <v>9</v>
      </c>
    </row>
    <row r="25" spans="1:5" x14ac:dyDescent="0.25">
      <c r="A25" s="5" t="s">
        <v>188</v>
      </c>
      <c r="B25" s="5" t="s">
        <v>195</v>
      </c>
      <c r="C25" s="16" t="s">
        <v>166</v>
      </c>
      <c r="D25" s="12" t="s">
        <v>9</v>
      </c>
      <c r="E25" s="6" t="s">
        <v>9</v>
      </c>
    </row>
    <row r="26" spans="1:5" x14ac:dyDescent="0.25">
      <c r="A26" s="5" t="s">
        <v>188</v>
      </c>
      <c r="B26" s="5" t="s">
        <v>196</v>
      </c>
      <c r="C26" s="16" t="s">
        <v>166</v>
      </c>
      <c r="D26" s="12" t="s">
        <v>9</v>
      </c>
      <c r="E26" s="6" t="s">
        <v>9</v>
      </c>
    </row>
    <row r="28" spans="1:5" x14ac:dyDescent="0.25">
      <c r="A28" s="17" t="s">
        <v>9</v>
      </c>
      <c r="B28" s="17"/>
      <c r="C28" s="17"/>
      <c r="D28" s="17"/>
      <c r="E28" s="17"/>
    </row>
  </sheetData>
  <mergeCells count="3">
    <mergeCell ref="A1:E1"/>
    <mergeCell ref="A2:E2"/>
    <mergeCell ref="A28:E28"/>
  </mergeCells>
  <dataValidations count="2">
    <dataValidation type="list" allowBlank="1" sqref="D10:D26">
      <formula1>"O (제공),X (미제공)"</formula1>
    </dataValidation>
    <dataValidation type="list" allowBlank="1" sqref="D4:D26">
      <formula1>"O (제공),X (미제공)"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5"/>
  <sheetFormatPr defaultRowHeight="15" outlineLevelRow="0" outlineLevelCol="0" x14ac:dyDescent="55"/>
  <cols>
    <col min="1" max="1" width="4" customWidth="1"/>
    <col min="2" max="2" width="110" customWidth="1"/>
  </cols>
  <sheetData>
    <row r="1" spans="1:2" x14ac:dyDescent="0.25">
      <c r="A1" s="1" t="s">
        <v>197</v>
      </c>
      <c r="B1" s="1"/>
    </row>
    <row r="2" spans="1:2" x14ac:dyDescent="0.25">
      <c r="A2" t="s">
        <v>9</v>
      </c>
      <c r="B2" s="18"/>
    </row>
    <row r="3" spans="1:2" x14ac:dyDescent="0.25">
      <c r="A3" s="19" t="s">
        <v>198</v>
      </c>
      <c r="B3" s="19"/>
    </row>
    <row r="4" spans="1:2" x14ac:dyDescent="0.25">
      <c r="A4" t="s">
        <v>9</v>
      </c>
      <c r="B4" s="20" t="s">
        <v>199</v>
      </c>
    </row>
    <row r="5" spans="1:2" x14ac:dyDescent="0.25">
      <c r="A5" t="s">
        <v>9</v>
      </c>
      <c r="B5" s="20" t="s">
        <v>200</v>
      </c>
    </row>
    <row r="6" spans="1:2" x14ac:dyDescent="0.25">
      <c r="A6" t="s">
        <v>9</v>
      </c>
      <c r="B6" s="20" t="s">
        <v>201</v>
      </c>
    </row>
    <row r="7" spans="1:2" x14ac:dyDescent="0.25">
      <c r="A7" t="s">
        <v>9</v>
      </c>
      <c r="B7" s="20" t="s">
        <v>202</v>
      </c>
    </row>
    <row r="8" spans="1:2" x14ac:dyDescent="0.25">
      <c r="A8" t="s">
        <v>9</v>
      </c>
      <c r="B8" s="18"/>
    </row>
    <row r="9" spans="1:2" x14ac:dyDescent="0.25">
      <c r="A9" s="19" t="s">
        <v>203</v>
      </c>
      <c r="B9" s="19"/>
    </row>
    <row r="10" spans="1:2" x14ac:dyDescent="0.25">
      <c r="A10" t="s">
        <v>9</v>
      </c>
      <c r="B10" s="18" t="s">
        <v>204</v>
      </c>
    </row>
    <row r="11" spans="1:2" x14ac:dyDescent="0.25">
      <c r="A11" t="s">
        <v>9</v>
      </c>
      <c r="B11" s="18" t="s">
        <v>205</v>
      </c>
    </row>
    <row r="12" spans="1:2" x14ac:dyDescent="0.25">
      <c r="A12" t="s">
        <v>9</v>
      </c>
      <c r="B12" s="18" t="s">
        <v>206</v>
      </c>
    </row>
    <row r="13" spans="1:2" x14ac:dyDescent="0.25">
      <c r="A13" t="s">
        <v>9</v>
      </c>
      <c r="B13" s="18" t="s">
        <v>207</v>
      </c>
    </row>
    <row r="14" spans="1:2" x14ac:dyDescent="0.25">
      <c r="A14" t="s">
        <v>9</v>
      </c>
      <c r="B14" s="18" t="s">
        <v>208</v>
      </c>
    </row>
    <row r="15" spans="1:2" x14ac:dyDescent="0.25">
      <c r="A15" t="s">
        <v>9</v>
      </c>
      <c r="B15" s="18" t="s">
        <v>209</v>
      </c>
    </row>
    <row r="16" spans="1:2" x14ac:dyDescent="0.25">
      <c r="A16" t="s">
        <v>9</v>
      </c>
      <c r="B16" s="18" t="s">
        <v>210</v>
      </c>
    </row>
    <row r="17" spans="1:2" x14ac:dyDescent="0.25">
      <c r="A17" t="s">
        <v>9</v>
      </c>
      <c r="B17" s="18" t="s">
        <v>211</v>
      </c>
    </row>
    <row r="18" spans="1:2" x14ac:dyDescent="0.25">
      <c r="A18" t="s">
        <v>9</v>
      </c>
      <c r="B18" s="18" t="s">
        <v>212</v>
      </c>
    </row>
    <row r="19" spans="1:2" x14ac:dyDescent="0.25">
      <c r="A19" t="s">
        <v>9</v>
      </c>
      <c r="B19" s="18"/>
    </row>
    <row r="20" spans="1:2" x14ac:dyDescent="0.25">
      <c r="A20" s="19" t="s">
        <v>213</v>
      </c>
      <c r="B20" s="19"/>
    </row>
    <row r="21" spans="1:2" x14ac:dyDescent="0.25">
      <c r="A21" t="s">
        <v>9</v>
      </c>
      <c r="B21" s="18" t="s">
        <v>214</v>
      </c>
    </row>
    <row r="22" spans="1:2" x14ac:dyDescent="0.25">
      <c r="A22" t="s">
        <v>9</v>
      </c>
      <c r="B22" s="18" t="s">
        <v>215</v>
      </c>
    </row>
    <row r="23" spans="1:2" x14ac:dyDescent="0.25">
      <c r="A23" t="s">
        <v>9</v>
      </c>
      <c r="B23" s="18" t="s">
        <v>216</v>
      </c>
    </row>
    <row r="24" spans="1:2" x14ac:dyDescent="0.25">
      <c r="A24" t="s">
        <v>9</v>
      </c>
      <c r="B24" s="18" t="s">
        <v>217</v>
      </c>
    </row>
    <row r="25" spans="1:2" x14ac:dyDescent="0.25">
      <c r="A25" t="s">
        <v>9</v>
      </c>
      <c r="B25" s="18"/>
    </row>
    <row r="26" spans="1:2" x14ac:dyDescent="0.25">
      <c r="A26" s="19" t="s">
        <v>218</v>
      </c>
      <c r="B26" s="19"/>
    </row>
    <row r="27" spans="1:2" x14ac:dyDescent="0.25">
      <c r="A27" t="s">
        <v>9</v>
      </c>
      <c r="B27" s="18" t="s">
        <v>219</v>
      </c>
    </row>
    <row r="28" spans="1:2" x14ac:dyDescent="0.25">
      <c r="A28" t="s">
        <v>9</v>
      </c>
      <c r="B28" s="18" t="s">
        <v>220</v>
      </c>
    </row>
    <row r="29" spans="1:2" x14ac:dyDescent="0.25">
      <c r="A29" t="s">
        <v>9</v>
      </c>
      <c r="B29" s="18" t="s">
        <v>221</v>
      </c>
    </row>
    <row r="30" spans="1:2" x14ac:dyDescent="0.25">
      <c r="A30" t="s">
        <v>9</v>
      </c>
      <c r="B30" s="18" t="s">
        <v>222</v>
      </c>
    </row>
    <row r="31" spans="1:2" x14ac:dyDescent="0.25">
      <c r="A31" t="s">
        <v>9</v>
      </c>
      <c r="B31" s="18"/>
    </row>
    <row r="32" spans="1:2" x14ac:dyDescent="0.25">
      <c r="A32" s="19" t="s">
        <v>223</v>
      </c>
      <c r="B32" s="19"/>
    </row>
    <row r="33" spans="1:2" x14ac:dyDescent="0.25">
      <c r="A33" t="s">
        <v>9</v>
      </c>
      <c r="B33" s="18" t="s">
        <v>224</v>
      </c>
    </row>
    <row r="34" spans="1:2" x14ac:dyDescent="0.25">
      <c r="A34" t="s">
        <v>9</v>
      </c>
      <c r="B34" s="20" t="s">
        <v>225</v>
      </c>
    </row>
    <row r="35" spans="1:2" x14ac:dyDescent="0.25">
      <c r="A35" t="s">
        <v>9</v>
      </c>
      <c r="B35" s="18" t="s">
        <v>226</v>
      </c>
    </row>
    <row r="36" spans="1:2" x14ac:dyDescent="0.25">
      <c r="A36" t="s">
        <v>9</v>
      </c>
      <c r="B36" s="20" t="s">
        <v>227</v>
      </c>
    </row>
    <row r="37" spans="1:2" x14ac:dyDescent="0.25">
      <c r="A37" t="s">
        <v>9</v>
      </c>
      <c r="B37" s="18" t="s">
        <v>228</v>
      </c>
    </row>
    <row r="38" spans="1:2" x14ac:dyDescent="0.25">
      <c r="A38" t="s">
        <v>9</v>
      </c>
      <c r="B38" s="18"/>
    </row>
    <row r="39" spans="1:2" x14ac:dyDescent="0.25">
      <c r="A39" s="19" t="s">
        <v>229</v>
      </c>
      <c r="B39" s="19"/>
    </row>
    <row r="40" spans="1:2" x14ac:dyDescent="0.25">
      <c r="A40" t="s">
        <v>9</v>
      </c>
      <c r="B40" s="18" t="s">
        <v>230</v>
      </c>
    </row>
    <row r="41" spans="1:2" x14ac:dyDescent="0.25">
      <c r="A41" t="s">
        <v>9</v>
      </c>
      <c r="B41" s="18" t="s">
        <v>231</v>
      </c>
    </row>
    <row r="42" spans="1:2" x14ac:dyDescent="0.25">
      <c r="A42" t="s">
        <v>9</v>
      </c>
      <c r="B42" s="20" t="s">
        <v>232</v>
      </c>
    </row>
    <row r="43" spans="1:2" x14ac:dyDescent="0.25">
      <c r="A43" t="s">
        <v>9</v>
      </c>
      <c r="B43" s="20" t="s">
        <v>233</v>
      </c>
    </row>
    <row r="44" spans="1:2" x14ac:dyDescent="0.25">
      <c r="A44" t="s">
        <v>9</v>
      </c>
      <c r="B44" s="20" t="s">
        <v>234</v>
      </c>
    </row>
    <row r="45" spans="1:2" x14ac:dyDescent="0.25">
      <c r="A45" t="s">
        <v>9</v>
      </c>
      <c r="B45" s="18" t="s">
        <v>235</v>
      </c>
    </row>
    <row r="46" spans="1:2" x14ac:dyDescent="0.25">
      <c r="A46" t="s">
        <v>9</v>
      </c>
      <c r="B46" s="18" t="s">
        <v>236</v>
      </c>
    </row>
    <row r="47" spans="1:2" x14ac:dyDescent="0.25">
      <c r="A47" t="s">
        <v>9</v>
      </c>
      <c r="B47" s="18"/>
    </row>
    <row r="48" spans="1:2" x14ac:dyDescent="0.25">
      <c r="A48" s="19" t="s">
        <v>237</v>
      </c>
      <c r="B48" s="19"/>
    </row>
    <row r="49" spans="1:2" x14ac:dyDescent="0.25">
      <c r="A49" t="s">
        <v>9</v>
      </c>
      <c r="B49" s="18" t="s">
        <v>238</v>
      </c>
    </row>
    <row r="50" spans="1:2" x14ac:dyDescent="0.25">
      <c r="A50" t="s">
        <v>9</v>
      </c>
      <c r="B50" s="18" t="s">
        <v>239</v>
      </c>
    </row>
    <row r="51" spans="1:2" x14ac:dyDescent="0.25">
      <c r="A51" t="s">
        <v>9</v>
      </c>
      <c r="B51" s="18"/>
    </row>
    <row r="52" spans="1:2" x14ac:dyDescent="0.25">
      <c r="A52" s="19" t="s">
        <v>240</v>
      </c>
      <c r="B52" s="19"/>
    </row>
    <row r="53" spans="1:2" x14ac:dyDescent="0.25">
      <c r="A53" t="s">
        <v>9</v>
      </c>
      <c r="B53" s="18" t="s">
        <v>241</v>
      </c>
    </row>
    <row r="54" spans="1:2" x14ac:dyDescent="0.25">
      <c r="A54" t="s">
        <v>9</v>
      </c>
      <c r="B54" s="18" t="s">
        <v>242</v>
      </c>
    </row>
    <row r="55" spans="1:2" x14ac:dyDescent="0.25">
      <c r="A55" t="s">
        <v>9</v>
      </c>
      <c r="B55" s="18"/>
    </row>
    <row r="56" spans="1:2" x14ac:dyDescent="0.25">
      <c r="A56" s="19" t="s">
        <v>243</v>
      </c>
      <c r="B56" s="19"/>
    </row>
    <row r="57" spans="1:2" x14ac:dyDescent="0.25">
      <c r="A57" t="s">
        <v>9</v>
      </c>
      <c r="B57" s="18" t="s">
        <v>244</v>
      </c>
    </row>
    <row r="58" spans="1:2" x14ac:dyDescent="0.25">
      <c r="A58" t="s">
        <v>9</v>
      </c>
      <c r="B58" s="18" t="s">
        <v>245</v>
      </c>
    </row>
    <row r="59" spans="1:2" x14ac:dyDescent="0.25">
      <c r="A59" t="s">
        <v>9</v>
      </c>
      <c r="B59" s="18" t="s">
        <v>246</v>
      </c>
    </row>
    <row r="60" spans="1:2" x14ac:dyDescent="0.25">
      <c r="A60" t="s">
        <v>9</v>
      </c>
      <c r="B60" s="18" t="s">
        <v>247</v>
      </c>
    </row>
    <row r="61" spans="1:2" x14ac:dyDescent="0.25">
      <c r="A61" t="s">
        <v>9</v>
      </c>
      <c r="B61" s="20" t="s">
        <v>248</v>
      </c>
    </row>
    <row r="62" spans="1:2" x14ac:dyDescent="0.25">
      <c r="A62" t="s">
        <v>9</v>
      </c>
      <c r="B62" s="18" t="s">
        <v>249</v>
      </c>
    </row>
    <row r="63" spans="1:2" x14ac:dyDescent="0.25">
      <c r="A63" t="s">
        <v>9</v>
      </c>
      <c r="B63" s="18"/>
    </row>
    <row r="64" spans="1:2" x14ac:dyDescent="0.25">
      <c r="A64" s="19" t="s">
        <v>250</v>
      </c>
      <c r="B64" s="19"/>
    </row>
    <row r="65" spans="1:2" x14ac:dyDescent="0.25">
      <c r="A65" t="s">
        <v>9</v>
      </c>
      <c r="B65" s="18" t="s">
        <v>251</v>
      </c>
    </row>
  </sheetData>
  <mergeCells count="11">
    <mergeCell ref="A1:B1"/>
    <mergeCell ref="A3:B3"/>
    <mergeCell ref="A9:B9"/>
    <mergeCell ref="A20:B20"/>
    <mergeCell ref="A26:B26"/>
    <mergeCell ref="A32:B32"/>
    <mergeCell ref="A39:B39"/>
    <mergeCell ref="A48:B48"/>
    <mergeCell ref="A52:B52"/>
    <mergeCell ref="A56:B56"/>
    <mergeCell ref="A64:B6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1_기본정보</vt:lpstr>
      <vt:lpstr>2_특수조건V2</vt:lpstr>
      <vt:lpstr>3_필요서류_사진</vt:lpstr>
      <vt:lpstr>4_가이드_OCR</vt:lpstr>
    </vt:vector>
  </TitlesOfParts>
  <Company>(주)트랜스파머 TransFarmer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NPLatform</dc:creator>
  <dc:title/>
  <dc:subject/>
  <dc:description/>
  <cp:keywords/>
  <cp:category/>
  <cp:lastModifiedBy>Unknown</cp:lastModifiedBy>
  <dcterms:created xsi:type="dcterms:W3CDTF">2026-04-28T16:23:33Z</dcterms:created>
  <dcterms:modified xsi:type="dcterms:W3CDTF">2026-04-28T16:23:33Z</dcterms:modified>
</cp:coreProperties>
</file>