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filterPrivacy="1"/>
  <xr:revisionPtr revIDLastSave="0" documentId="8_{76C2878F-2216-4D94-86B4-0BD951513E13}" xr6:coauthVersionLast="36" xr6:coauthVersionMax="36" xr10:uidLastSave="{00000000-0000-0000-0000-000000000000}"/>
  <bookViews>
    <workbookView xWindow="0" yWindow="0" windowWidth="19200" windowHeight="7380" xr2:uid="{00000000-000D-0000-FFFF-FFFF00000000}"/>
  </bookViews>
  <sheets>
    <sheet name="1_기본정보" sheetId="1" r:id="rId1"/>
    <sheet name="2_특수조건" sheetId="2" r:id="rId2"/>
  </sheets>
  <calcPr calcId="191029"/>
</workbook>
</file>

<file path=xl/calcChain.xml><?xml version="1.0" encoding="utf-8"?>
<calcChain xmlns="http://schemas.openxmlformats.org/spreadsheetml/2006/main">
  <c r="D23" i="2" l="1"/>
  <c r="B60" i="1"/>
  <c r="B57" i="1"/>
  <c r="B47" i="1"/>
  <c r="B29" i="1"/>
  <c r="B27" i="1"/>
  <c r="B58" i="1" s="1"/>
</calcChain>
</file>

<file path=xl/sharedStrings.xml><?xml version="1.0" encoding="utf-8"?>
<sst xmlns="http://schemas.openxmlformats.org/spreadsheetml/2006/main" count="238" uniqueCount="158">
  <si>
    <t>항목</t>
  </si>
  <si>
    <t>값 (드롭다운 · 자유입력 · O/X · 자동계산)</t>
  </si>
  <si>
    <t>설명 / 예시</t>
  </si>
  <si>
    <t>범례</t>
  </si>
  <si>
    <t>🟦 드롭다운 선택   🟨 자유 입력   🟩 O/X 체크   ⬜ 자동 계산 (수식)</t>
  </si>
  <si>
    <t>O = 해당 · X = 비해당 · 빈 셀 = 미응답</t>
  </si>
  <si>
    <t>1. 기관·매각주체</t>
  </si>
  <si>
    <t>기관명</t>
  </si>
  <si>
    <t/>
  </si>
  <si>
    <t>기관유형 (드롭다운 선택)</t>
  </si>
  <si>
    <t>11개 중 1개 선택 (대부업 포함)</t>
  </si>
  <si>
    <t>매물분류 (드롭다운 선택)</t>
  </si>
  <si>
    <t>NPL 또는 일반 부동산</t>
  </si>
  <si>
    <t>NPLatform 전속계약 (드롭다운 선택)</t>
  </si>
  <si>
    <t>2. 담보·주소</t>
  </si>
  <si>
    <t>담보종류 (드롭다운 선택)</t>
  </si>
  <si>
    <t>10개 중 1개 선택</t>
  </si>
  <si>
    <t>시도 (드롭다운 선택)</t>
  </si>
  <si>
    <t>17개 광역자치단체 중 1개</t>
  </si>
  <si>
    <t>시군구</t>
  </si>
  <si>
    <t>예: 종로구 / 송파구  (시도 선택 후 해당 시군구 입력)</t>
  </si>
  <si>
    <t>상세주소</t>
  </si>
  <si>
    <t>예: 홍지동 산00-00 외 7필지</t>
  </si>
  <si>
    <t>전용면적 (㎡)</t>
  </si>
  <si>
    <t>숫자만. 평 환산값 입력 금지</t>
  </si>
  <si>
    <t>건축년도</t>
  </si>
  <si>
    <t>YYYY 4자리. 예: 2018  (토지인 경우 빈칸)</t>
  </si>
  <si>
    <t>3. 채무자</t>
  </si>
  <si>
    <t>채무자 유형 (드롭다운 선택)</t>
  </si>
  <si>
    <t>채무자·소유자 동일 여부 (드롭다운 선택)</t>
  </si>
  <si>
    <t>2개 중 1개</t>
  </si>
  <si>
    <t>4. 채권정보</t>
  </si>
  <si>
    <t>최초 대출원금 (원)</t>
  </si>
  <si>
    <t>대출 실행 당시 원금. 수익권금액 산정 기준. 예: 1,700,000,000</t>
  </si>
  <si>
    <t>대출원금 (현재 잔액 · 원)</t>
  </si>
  <si>
    <t>현재 미상환 원금. 예: 1,648,045,960</t>
  </si>
  <si>
    <t>미수이자 (원)</t>
  </si>
  <si>
    <t>연체 전 정상금리 미수분 (있으면)</t>
  </si>
  <si>
    <t>연체이자 (원)</t>
  </si>
  <si>
    <t>연체금리 누적분. 예: 81,273,499</t>
  </si>
  <si>
    <t>채권잔액 (원) · 자동</t>
  </si>
  <si>
    <t>= 대출원금 + 미수이자 + 연체이자</t>
  </si>
  <si>
    <t>수익권 비율 (%)</t>
  </si>
  <si>
    <t>수익권금액 (자동 계산값 · 참고)</t>
  </si>
  <si>
    <t>= 최초 대출원금 × 수익권 비율% (참고용 자동값)</t>
  </si>
  <si>
    <t>수익권금액 (적용값 · 직접 입력)</t>
  </si>
  <si>
    <t>비워두면 위 자동값 적용. 매도자 협상가 또는 등기부 채권최고액 직접 입력 가능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</si>
  <si>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</si>
  <si>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</si>
  <si>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</si>
  <si>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</si>
  <si>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</si>
  <si>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</si>
  <si>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</si>
  <si>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</si>
  <si>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금액. 예: 6,673,000,000</t>
  </si>
  <si>
    <t>감정평가일자</t>
  </si>
  <si>
    <t>AI 시세·현재시가 (원)</t>
  </si>
  <si>
    <t>감정가 외 보조 참고값 (있으면)</t>
  </si>
  <si>
    <t>시세 산출 근거</t>
  </si>
  <si>
    <t>경매개시결정일</t>
  </si>
  <si>
    <t>YYYY-MM-DD (해당 시)</t>
  </si>
  <si>
    <t>공매 개시일</t>
  </si>
  <si>
    <t>6. 권리·임차</t>
  </si>
  <si>
    <t>1순위 권리자 (예: 우리은행)</t>
  </si>
  <si>
    <t>1순위 근저당권자 명칭</t>
  </si>
  <si>
    <t>1순위 채권최고액 (원)</t>
  </si>
  <si>
    <t>1순위 근저당 채권최고액 (보통 원금 ×120%). 예: 2,364,000,000</t>
  </si>
  <si>
    <t>선순위 채권 총액 (원)</t>
  </si>
  <si>
    <t>1순위 근저당 이전 선순위 합계 (1순위 본인 제외). 예: 2,364,000,000</t>
  </si>
  <si>
    <t>LTV (%) · 자동 · (선순위+대출원금)/감정가</t>
  </si>
  <si>
    <t>= (선순위 채권총액 + 대출원금) ÷ 감정가 × 100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</si>
  <si>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</si>
  <si>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</si>
  <si>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</si>
  <si>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</si>
  <si>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</si>
  <si>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</si>
  <si>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</si>
  <si>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기준 (드롭다운 선택)</t>
  </si>
  <si>
    <t>대출원금 기준 = 옵션 A · 채권잔액 기준 = 옵션 B</t>
  </si>
  <si>
    <t>할인율 A · 대출원금 대비 (%)</t>
  </si>
  <si>
    <t>매각가 옵션 A 산정용. 예: 0 (할인없음) / 5 / 10</t>
  </si>
  <si>
    <t>할인율 B · 채권잔액 대비 (%)</t>
  </si>
  <si>
    <t>매각가 옵션 B 산정용. 예: 0 (채권잔액 100%)</t>
  </si>
  <si>
    <t>매각가 옵션 A · 자동 · 대출원금×(1−할인율A%)</t>
  </si>
  <si>
    <t>대출원금 기준 매각가</t>
  </si>
  <si>
    <t>매각가 옵션 B · 자동 · 채권잔액×(1−할인율B%)</t>
  </si>
  <si>
    <t>채권잔액 기준 매각가</t>
  </si>
  <si>
    <t>매각 희망가 (원) · 매도자 최종 결정</t>
  </si>
  <si>
    <t>옵션 A 또는 B 중 선택한 값을 기재. 매수자에게 공개될 가격</t>
  </si>
  <si>
    <t>계약금 (원) · 자동 · 매각희망가 ×10%</t>
  </si>
  <si>
    <t>계약 체결 시 입금액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</si>
  <si>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</si>
  <si>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</si>
  <si>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</si>
  <si>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</si>
  <si>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</si>
  <si>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</si>
  <si>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</si>
  <si>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</si>
  <si>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</si>
  <si>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0.7~0.9 · 전속 시 0.5 자동 적용 (빈칸 허용)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</si>
  <si>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</si>
  <si>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</si>
  <si>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</si>
  <si>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</si>
  <si>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</si>
  <si>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</si>
  <si>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</si>
  <si>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</si>
  <si>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</si>
  <si>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</si>
  <si>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</si>
  <si>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</si>
  <si>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</si>
  <si>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</si>
  <si>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</si>
  <si>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</si>
  <si>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</si>
  <si>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</si>
  <si>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</si>
  <si>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</si>
  <si>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</si>
  <si>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</si>
  <si>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</si>
  <si>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</si>
  <si>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</si>
  <si>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</si>
  <si>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</si>
  <si>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</si>
  <si>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</si>
  <si>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</si>
  <si>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</si>
  <si>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</si>
  <si>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</si>
  <si>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</si>
  <si>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</si>
  <si>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</si>
  <si>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</si>
  <si>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</si>
  <si>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</si>
  <si>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</si>
  <si>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</si>
  <si>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</si>
  <si>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</si>
  <si>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</si>
  <si>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</si>
  <si>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점수</t>
  </si>
  <si>
    <t>권리관계 기초점수 (자동)</t>
  </si>
  <si>
    <t>= MAX(20, 100 + Σ(O 표시 행의 감점))</t>
  </si>
  <si>
    <t xml:space="preserve">[시트 1] 매물 기본 정보 — NPL 매물등록 템플릿 </t>
    <phoneticPr fontId="11" type="noConversion"/>
  </si>
  <si>
    <t>예: XX은행 서울지점 / OOOOO이에프투자대부</t>
    <phoneticPr fontId="11" type="noConversion"/>
  </si>
  <si>
    <t>전속 ON 시 수수료 0.5% 자동 + 땅집고옥션 마케팅 지원</t>
    <phoneticPr fontId="11" type="noConversion"/>
  </si>
  <si>
    <t>개인 / 법인 중 선택</t>
    <phoneticPr fontId="11" type="noConversion"/>
  </si>
  <si>
    <t>1차 근저당 표준 110~140%. 본인이 설정 가능 (기본 120)</t>
    <phoneticPr fontId="11" type="noConversion"/>
  </si>
  <si>
    <t>예: 인근 실거래 3건 중앙값 · 202605-12 기준</t>
    <phoneticPr fontId="11" type="noConversion"/>
  </si>
  <si>
    <t>[시트 2] 특수조건 18개 항목 — O/X 체크리스트 + 점수 자동계산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</si>
</sst>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scheme val="minor"/>
    </font>
    <font>
      <b/>
      <sz val="13"/>
      <color rgb="FF1B3A5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color rgb="FF64748B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0"/>
      <color rgb="FF14161A"/>
      <name val="맑은 고딕"/>
      <family val="3"/>
      <charset val="129"/>
    </font>
    <font>
      <sz val="10"/>
      <name val="맑은 고딕"/>
      <family val="3"/>
      <charset val="129"/>
    </font>
    <font>
      <b/>
      <i/>
      <sz val="10"/>
      <color rgb="FF1B3A5C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0"/>
      <color rgb="FFB91C1C"/>
      <name val="맑은 고딕"/>
      <family val="3"/>
      <charset val="129"/>
    </font>
    <font>
      <b/>
      <i/>
      <sz val="12"/>
      <color rgb="FF1B3A5C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4161A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6F0FF"/>
      </patternFill>
    </fill>
    <fill>
      <patternFill patternType="solid">
        <fgColor rgb="FFF1F5F9"/>
      </patternFill>
    </fill>
    <fill>
      <patternFill patternType="solid">
        <fgColor rgb="FFE6F7E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6" fillId="5" borderId="1" xfId="0" applyNumberFormat="1" applyFont="1" applyFill="1" applyBorder="1" applyAlignment="1">
      <alignment vertical="center"/>
    </xf>
    <xf numFmtId="3" fontId="7" fillId="7" borderId="1" xfId="0" applyNumberFormat="1" applyFont="1" applyFill="1" applyBorder="1" applyAlignment="1">
      <alignment vertical="center"/>
    </xf>
    <xf numFmtId="2" fontId="6" fillId="5" borderId="1" xfId="0" applyNumberFormat="1" applyFont="1" applyFill="1" applyBorder="1" applyAlignment="1">
      <alignment vertical="center"/>
    </xf>
    <xf numFmtId="2" fontId="7" fillId="7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4" fillId="4" borderId="0" xfId="0" applyFont="1" applyFill="1" applyAlignment="1">
      <alignment vertical="center" indent="1"/>
    </xf>
    <xf numFmtId="0" fontId="3" fillId="3" borderId="1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6"/>
  <sheetViews>
    <sheetView tabSelected="1" workbookViewId="0">
      <pane ySplit="3" topLeftCell="A4" activePane="bottomLeft" state="frozen"/>
      <selection pane="bottomLeft" activeCell="A7" sqref="A7"/>
    </sheetView>
  </sheetViews>
  <sheetFormatPr defaultRowHeight="17" x14ac:dyDescent="0.45"/>
  <cols>
    <col min="1" max="1" width="34" customWidth="1"/>
    <col min="2" max="2" width="42" customWidth="1"/>
    <col min="3" max="3" width="56" customWidth="1"/>
  </cols>
  <sheetData>
    <row r="1" spans="1:3" ht="20.5" x14ac:dyDescent="0.55000000000000004">
      <c r="A1" s="14" t="s">
        <v>151</v>
      </c>
      <c r="B1" s="14"/>
      <c r="C1" s="14"/>
    </row>
    <row r="2" spans="1:3" x14ac:dyDescent="0.45">
      <c r="A2" s="1" t="s">
        <v>0</v>
      </c>
      <c r="B2" s="1" t="s">
        <v>1</v>
      </c>
      <c r="C2" s="1" t="s">
        <v>2</v>
      </c>
    </row>
    <row r="3" spans="1:3" ht="29" x14ac:dyDescent="0.45">
      <c r="A3" s="2" t="s">
        <v>3</v>
      </c>
      <c r="B3" s="2" t="s">
        <v>4</v>
      </c>
      <c r="C3" s="2" t="s">
        <v>5</v>
      </c>
    </row>
    <row r="4" spans="1:3" x14ac:dyDescent="0.45">
      <c r="A4" s="15" t="s">
        <v>6</v>
      </c>
      <c r="B4" s="15"/>
      <c r="C4" s="15"/>
    </row>
    <row r="5" spans="1:3" x14ac:dyDescent="0.45">
      <c r="A5" s="3" t="s">
        <v>7</v>
      </c>
      <c r="B5" s="4" t="s">
        <v>8</v>
      </c>
      <c r="C5" s="2" t="s">
        <v>152</v>
      </c>
    </row>
    <row r="6" spans="1:3" x14ac:dyDescent="0.45">
      <c r="A6" s="3" t="s">
        <v>9</v>
      </c>
      <c r="B6" s="5" t="s">
        <v>8</v>
      </c>
      <c r="C6" s="2" t="s">
        <v>10</v>
      </c>
    </row>
    <row r="7" spans="1:3" x14ac:dyDescent="0.45">
      <c r="A7" s="3" t="s">
        <v>11</v>
      </c>
      <c r="B7" s="5" t="s">
        <v>8</v>
      </c>
      <c r="C7" s="2" t="s">
        <v>12</v>
      </c>
    </row>
    <row r="8" spans="1:3" x14ac:dyDescent="0.45">
      <c r="A8" s="3" t="s">
        <v>13</v>
      </c>
      <c r="B8" s="5" t="s">
        <v>8</v>
      </c>
      <c r="C8" s="2" t="s">
        <v>153</v>
      </c>
    </row>
    <row r="10" spans="1:3" x14ac:dyDescent="0.45">
      <c r="A10" s="15" t="s">
        <v>14</v>
      </c>
      <c r="B10" s="15"/>
      <c r="C10" s="15"/>
    </row>
    <row r="11" spans="1:3" x14ac:dyDescent="0.45">
      <c r="A11" s="3" t="s">
        <v>15</v>
      </c>
      <c r="B11" s="5" t="s">
        <v>8</v>
      </c>
      <c r="C11" s="2" t="s">
        <v>16</v>
      </c>
    </row>
    <row r="12" spans="1:3" x14ac:dyDescent="0.45">
      <c r="A12" s="3" t="s">
        <v>17</v>
      </c>
      <c r="B12" s="5" t="s">
        <v>8</v>
      </c>
      <c r="C12" s="2" t="s">
        <v>18</v>
      </c>
    </row>
    <row r="13" spans="1:3" x14ac:dyDescent="0.45">
      <c r="A13" s="3" t="s">
        <v>19</v>
      </c>
      <c r="B13" s="4" t="s">
        <v>8</v>
      </c>
      <c r="C13" s="2" t="s">
        <v>20</v>
      </c>
    </row>
    <row r="14" spans="1:3" x14ac:dyDescent="0.45">
      <c r="A14" s="3" t="s">
        <v>21</v>
      </c>
      <c r="B14" s="4" t="s">
        <v>8</v>
      </c>
      <c r="C14" s="2" t="s">
        <v>22</v>
      </c>
    </row>
    <row r="15" spans="1:3" x14ac:dyDescent="0.45">
      <c r="A15" s="3" t="s">
        <v>23</v>
      </c>
      <c r="B15" s="6" t="s">
        <v>8</v>
      </c>
      <c r="C15" s="2" t="s">
        <v>24</v>
      </c>
    </row>
    <row r="16" spans="1:3" x14ac:dyDescent="0.45">
      <c r="A16" s="3" t="s">
        <v>25</v>
      </c>
      <c r="B16" s="4" t="s">
        <v>8</v>
      </c>
      <c r="C16" s="2" t="s">
        <v>26</v>
      </c>
    </row>
    <row r="18" spans="1:3" x14ac:dyDescent="0.45">
      <c r="A18" s="15" t="s">
        <v>27</v>
      </c>
      <c r="B18" s="15"/>
      <c r="C18" s="15"/>
    </row>
    <row r="19" spans="1:3" x14ac:dyDescent="0.45">
      <c r="A19" s="3" t="s">
        <v>28</v>
      </c>
      <c r="B19" s="5" t="s">
        <v>8</v>
      </c>
      <c r="C19" s="2" t="s">
        <v>154</v>
      </c>
    </row>
    <row r="20" spans="1:3" x14ac:dyDescent="0.45">
      <c r="A20" s="3" t="s">
        <v>29</v>
      </c>
      <c r="B20" s="5" t="s">
        <v>8</v>
      </c>
      <c r="C20" s="2" t="s">
        <v>30</v>
      </c>
    </row>
    <row r="22" spans="1:3" x14ac:dyDescent="0.45">
      <c r="A22" s="15" t="s">
        <v>31</v>
      </c>
      <c r="B22" s="15"/>
      <c r="C22" s="15"/>
    </row>
    <row r="23" spans="1:3" x14ac:dyDescent="0.45">
      <c r="A23" s="3" t="s">
        <v>32</v>
      </c>
      <c r="B23" s="6" t="s">
        <v>8</v>
      </c>
      <c r="C23" s="2" t="s">
        <v>33</v>
      </c>
    </row>
    <row r="24" spans="1:3" x14ac:dyDescent="0.45">
      <c r="A24" s="3" t="s">
        <v>34</v>
      </c>
      <c r="B24" s="6" t="s">
        <v>8</v>
      </c>
      <c r="C24" s="2" t="s">
        <v>35</v>
      </c>
    </row>
    <row r="25" spans="1:3" x14ac:dyDescent="0.45">
      <c r="A25" s="3" t="s">
        <v>36</v>
      </c>
      <c r="B25" s="6" t="s">
        <v>8</v>
      </c>
      <c r="C25" s="2" t="s">
        <v>37</v>
      </c>
    </row>
    <row r="26" spans="1:3" x14ac:dyDescent="0.45">
      <c r="A26" s="3" t="s">
        <v>38</v>
      </c>
      <c r="B26" s="6" t="s">
        <v>8</v>
      </c>
      <c r="C26" s="2" t="s">
        <v>39</v>
      </c>
    </row>
    <row r="27" spans="1:3" x14ac:dyDescent="0.45">
      <c r="A27" s="3" t="s">
        <v>40</v>
      </c>
      <c r="B27" s="7" t="e">
        <f>B24+B25+B26</f>
        <v>#VALUE!</v>
      </c>
      <c r="C27" s="2" t="s">
        <v>41</v>
      </c>
    </row>
    <row r="28" spans="1:3" x14ac:dyDescent="0.45">
      <c r="A28" s="3" t="s">
        <v>42</v>
      </c>
      <c r="B28" s="8">
        <v>120</v>
      </c>
      <c r="C28" s="2" t="s">
        <v>155</v>
      </c>
    </row>
    <row r="29" spans="1:3" x14ac:dyDescent="0.45">
      <c r="A29" s="3" t="s">
        <v>43</v>
      </c>
      <c r="B29" s="7" t="e">
        <f>B23*B28/100</f>
        <v>#VALUE!</v>
      </c>
      <c r="C29" s="2" t="s">
        <v>44</v>
      </c>
    </row>
    <row r="30" spans="1:3" x14ac:dyDescent="0.45">
      <c r="A30" s="3" t="s">
        <v>45</v>
      </c>
      <c r="B30" s="6" t="s">
        <v>8</v>
      </c>
      <c r="C30" s="2" t="s">
        <v>46</v>
      </c>
    </row>
    <row r="31" spans="1:3" x14ac:dyDescent="0.45">
      <c r="A31" s="3" t="s">
        <v>47</v>
      </c>
      <c r="B31" s="4" t="s">
        <v>8</v>
      </c>
      <c r="C31" s="2" t="s">
        <v>48</v>
      </c>
    </row>
    <row r="32" spans="1:3" x14ac:dyDescent="0.45">
      <c r="A32" s="3" t="s">
        <v>49</v>
      </c>
      <c r="B32" s="8" t="s">
        <v>8</v>
      </c>
      <c r="C32" s="2" t="s">
        <v>50</v>
      </c>
    </row>
    <row r="33" spans="1:3" x14ac:dyDescent="0.45">
      <c r="A33" s="3" t="s">
        <v>51</v>
      </c>
      <c r="B33" s="8" t="s">
        <v>8</v>
      </c>
      <c r="C33" s="2" t="s">
        <v>52</v>
      </c>
    </row>
    <row r="35" spans="1:3" x14ac:dyDescent="0.45">
      <c r="A35" s="15" t="s">
        <v>53</v>
      </c>
      <c r="B35" s="15"/>
      <c r="C35" s="15"/>
    </row>
    <row r="36" spans="1:3" x14ac:dyDescent="0.45">
      <c r="A36" s="3" t="s">
        <v>54</v>
      </c>
      <c r="B36" s="6" t="s">
        <v>8</v>
      </c>
      <c r="C36" s="2" t="s">
        <v>55</v>
      </c>
    </row>
    <row r="37" spans="1:3" x14ac:dyDescent="0.45">
      <c r="A37" s="3" t="s">
        <v>56</v>
      </c>
      <c r="B37" s="4" t="s">
        <v>8</v>
      </c>
      <c r="C37" s="2" t="s">
        <v>48</v>
      </c>
    </row>
    <row r="38" spans="1:3" x14ac:dyDescent="0.45">
      <c r="A38" s="3" t="s">
        <v>57</v>
      </c>
      <c r="B38" s="6" t="s">
        <v>8</v>
      </c>
      <c r="C38" s="2" t="s">
        <v>58</v>
      </c>
    </row>
    <row r="39" spans="1:3" x14ac:dyDescent="0.45">
      <c r="A39" s="3" t="s">
        <v>59</v>
      </c>
      <c r="B39" s="4" t="s">
        <v>8</v>
      </c>
      <c r="C39" s="2" t="s">
        <v>156</v>
      </c>
    </row>
    <row r="40" spans="1:3" x14ac:dyDescent="0.45">
      <c r="A40" s="3" t="s">
        <v>60</v>
      </c>
      <c r="B40" s="4" t="s">
        <v>8</v>
      </c>
      <c r="C40" s="2" t="s">
        <v>61</v>
      </c>
    </row>
    <row r="41" spans="1:3" x14ac:dyDescent="0.45">
      <c r="A41" s="3" t="s">
        <v>62</v>
      </c>
      <c r="B41" s="4" t="s">
        <v>8</v>
      </c>
      <c r="C41" s="2" t="s">
        <v>61</v>
      </c>
    </row>
    <row r="43" spans="1:3" x14ac:dyDescent="0.45">
      <c r="A43" s="15" t="s">
        <v>63</v>
      </c>
      <c r="B43" s="15"/>
      <c r="C43" s="15"/>
    </row>
    <row r="44" spans="1:3" x14ac:dyDescent="0.45">
      <c r="A44" s="3" t="s">
        <v>64</v>
      </c>
      <c r="B44" s="4" t="s">
        <v>8</v>
      </c>
      <c r="C44" s="2" t="s">
        <v>65</v>
      </c>
    </row>
    <row r="45" spans="1:3" x14ac:dyDescent="0.45">
      <c r="A45" s="3" t="s">
        <v>66</v>
      </c>
      <c r="B45" s="6" t="s">
        <v>8</v>
      </c>
      <c r="C45" s="2" t="s">
        <v>67</v>
      </c>
    </row>
    <row r="46" spans="1:3" x14ac:dyDescent="0.45">
      <c r="A46" s="3" t="s">
        <v>68</v>
      </c>
      <c r="B46" s="6" t="s">
        <v>8</v>
      </c>
      <c r="C46" s="2" t="s">
        <v>69</v>
      </c>
    </row>
    <row r="47" spans="1:3" x14ac:dyDescent="0.45">
      <c r="A47" s="3" t="s">
        <v>70</v>
      </c>
      <c r="B47" s="9" t="str">
        <f>IFERROR((B46+B24)/B36*100, "")</f>
        <v/>
      </c>
      <c r="C47" s="2" t="s">
        <v>71</v>
      </c>
    </row>
    <row r="48" spans="1:3" x14ac:dyDescent="0.45">
      <c r="A48" s="3" t="s">
        <v>72</v>
      </c>
      <c r="B48" s="4"/>
      <c r="C48" s="2" t="s">
        <v>73</v>
      </c>
    </row>
    <row r="49" spans="1:3" x14ac:dyDescent="0.45">
      <c r="A49" s="3" t="s">
        <v>74</v>
      </c>
      <c r="B49" s="6" t="s">
        <v>8</v>
      </c>
      <c r="C49" s="2" t="s">
        <v>8</v>
      </c>
    </row>
    <row r="50" spans="1:3" x14ac:dyDescent="0.45">
      <c r="A50" s="3" t="s">
        <v>75</v>
      </c>
      <c r="B50" s="6" t="s">
        <v>8</v>
      </c>
      <c r="C50" s="2" t="s">
        <v>8</v>
      </c>
    </row>
    <row r="51" spans="1:3" x14ac:dyDescent="0.45">
      <c r="A51" s="3" t="s">
        <v>76</v>
      </c>
      <c r="B51" s="4" t="s">
        <v>8</v>
      </c>
      <c r="C51" s="2" t="s">
        <v>77</v>
      </c>
    </row>
    <row r="53" spans="1:3" x14ac:dyDescent="0.45">
      <c r="A53" s="15" t="s">
        <v>78</v>
      </c>
      <c r="B53" s="15"/>
      <c r="C53" s="15"/>
    </row>
    <row r="54" spans="1:3" x14ac:dyDescent="0.45">
      <c r="A54" s="3" t="s">
        <v>79</v>
      </c>
      <c r="B54" s="5" t="s">
        <v>8</v>
      </c>
      <c r="C54" s="2" t="s">
        <v>80</v>
      </c>
    </row>
    <row r="55" spans="1:3" x14ac:dyDescent="0.45">
      <c r="A55" s="3" t="s">
        <v>81</v>
      </c>
      <c r="B55" s="8"/>
      <c r="C55" s="2" t="s">
        <v>82</v>
      </c>
    </row>
    <row r="56" spans="1:3" x14ac:dyDescent="0.45">
      <c r="A56" s="3" t="s">
        <v>83</v>
      </c>
      <c r="B56" s="8" t="s">
        <v>8</v>
      </c>
      <c r="C56" s="2" t="s">
        <v>84</v>
      </c>
    </row>
    <row r="57" spans="1:3" x14ac:dyDescent="0.45">
      <c r="A57" s="3" t="s">
        <v>85</v>
      </c>
      <c r="B57" s="7" t="e">
        <f>B24*(1-B55/100)</f>
        <v>#VALUE!</v>
      </c>
      <c r="C57" s="2" t="s">
        <v>86</v>
      </c>
    </row>
    <row r="58" spans="1:3" x14ac:dyDescent="0.45">
      <c r="A58" s="3" t="s">
        <v>87</v>
      </c>
      <c r="B58" s="7" t="e">
        <f>B27*(1-B56/100)</f>
        <v>#VALUE!</v>
      </c>
      <c r="C58" s="2" t="s">
        <v>88</v>
      </c>
    </row>
    <row r="59" spans="1:3" x14ac:dyDescent="0.45">
      <c r="A59" s="3" t="s">
        <v>89</v>
      </c>
      <c r="B59" s="6" t="s">
        <v>8</v>
      </c>
      <c r="C59" s="2" t="s">
        <v>90</v>
      </c>
    </row>
    <row r="60" spans="1:3" x14ac:dyDescent="0.45">
      <c r="A60" s="3" t="s">
        <v>91</v>
      </c>
      <c r="B60" s="7" t="e">
        <f>B59*0.1</f>
        <v>#VALUE!</v>
      </c>
      <c r="C60" s="2" t="s">
        <v>92</v>
      </c>
    </row>
    <row r="61" spans="1:3" x14ac:dyDescent="0.45">
      <c r="A61" s="3" t="s">
        <v>93</v>
      </c>
      <c r="B61" s="10" t="s">
        <v>8</v>
      </c>
      <c r="C61" s="2" t="s">
        <v>94</v>
      </c>
    </row>
    <row r="62" spans="1:3" x14ac:dyDescent="0.45">
      <c r="A62" s="3" t="s">
        <v>95</v>
      </c>
      <c r="B62" s="10" t="s">
        <v>8</v>
      </c>
      <c r="C62" s="2" t="s">
        <v>94</v>
      </c>
    </row>
    <row r="63" spans="1:3" x14ac:dyDescent="0.45">
      <c r="A63" s="3" t="s">
        <v>96</v>
      </c>
      <c r="B63" s="10" t="s">
        <v>8</v>
      </c>
      <c r="C63" s="2" t="s">
        <v>94</v>
      </c>
    </row>
    <row r="64" spans="1:3" x14ac:dyDescent="0.45">
      <c r="A64" s="3" t="s">
        <v>97</v>
      </c>
      <c r="B64" s="10" t="s">
        <v>8</v>
      </c>
      <c r="C64" s="2" t="s">
        <v>98</v>
      </c>
    </row>
    <row r="65" spans="1:3" x14ac:dyDescent="0.45">
      <c r="A65" s="3" t="s">
        <v>99</v>
      </c>
      <c r="B65" s="4" t="s">
        <v>8</v>
      </c>
      <c r="C65" s="2" t="s">
        <v>100</v>
      </c>
    </row>
    <row r="66" spans="1:3" x14ac:dyDescent="0.45">
      <c r="A66" s="3" t="s">
        <v>101</v>
      </c>
      <c r="B66" s="8" t="s">
        <v>8</v>
      </c>
      <c r="C66" s="2" t="s">
        <v>102</v>
      </c>
    </row>
  </sheetData>
  <mergeCells count="8">
    <mergeCell ref="A35:C35"/>
    <mergeCell ref="A43:C43"/>
    <mergeCell ref="A53:C53"/>
    <mergeCell ref="A1:C1"/>
    <mergeCell ref="A4:C4"/>
    <mergeCell ref="A10:C10"/>
    <mergeCell ref="A18:C18"/>
    <mergeCell ref="A22:C22"/>
  </mergeCells>
  <phoneticPr fontId="11" type="noConversion"/>
  <dataValidations count="9">
    <dataValidation type="list" allowBlank="1" sqref="B11" xr:uid="{00000000-0002-0000-0000-000000000000}">
      <formula1>"아파트,오피스텔,다세대,단독주택,상가,오피스,토지,공장,호텔,기타"</formula1>
    </dataValidation>
    <dataValidation type="list" allowBlank="1" sqref="B12" xr:uid="{00000000-0002-0000-0000-000001000000}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 xr:uid="{00000000-0002-0000-0000-000002000000}">
      <formula1>"INDIVIDUAL (개인 · 질권 LTV 75%),CORPORATE (법인 · 질권 LTV 90%)"</formula1>
    </dataValidation>
    <dataValidation type="list" allowBlank="1" sqref="B20" xr:uid="{00000000-0002-0000-0000-000003000000}">
      <formula1>"동일인 (채무자 = 소유자),다름 (물상보증·제3자 담보)"</formula1>
    </dataValidation>
    <dataValidation type="list" allowBlank="1" sqref="B54" xr:uid="{00000000-0002-0000-0000-000004000000}">
      <formula1>"대출원금 기준 (PRINCIPAL),채권잔액 기준 (CLAIM_BALANCE)"</formula1>
    </dataValidation>
    <dataValidation type="list" allowBlank="1" sqref="B6" xr:uid="{00000000-0002-0000-0000-000005000000}">
      <formula1>"은행,저축은행,AMC,캐피탈,카드,보험,신협,새마을,신탁,대부업,기타"</formula1>
    </dataValidation>
    <dataValidation type="list" allowBlank="1" sqref="B61:B64" xr:uid="{00000000-0002-0000-0000-000006000000}">
      <formula1>"O (해당),X (비해당)"</formula1>
    </dataValidation>
    <dataValidation type="list" allowBlank="1" sqref="B7" xr:uid="{00000000-0002-0000-0000-000007000000}">
      <formula1>"NPL (부실채권),GENERAL (일반 부동산)"</formula1>
    </dataValidation>
    <dataValidation type="list" allowBlank="1" sqref="B8" xr:uid="{00000000-0002-0000-0000-000008000000}">
      <formula1>"전속 ON (수수료 0.5% + 땅집고옥션 마케팅 지원),전속 OFF (0.7%~0.9% 자유)"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3"/>
  <sheetViews>
    <sheetView workbookViewId="0">
      <pane ySplit="4" topLeftCell="A5" activePane="bottomLeft" state="frozen"/>
      <selection pane="bottomLeft" activeCell="A2" sqref="A2:E2"/>
    </sheetView>
  </sheetViews>
  <sheetFormatPr defaultRowHeight="17" x14ac:dyDescent="0.4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ht="20.5" x14ac:dyDescent="0.55000000000000004">
      <c r="A1" s="14" t="s">
        <v>157</v>
      </c>
      <c r="B1" s="14"/>
      <c r="C1" s="14"/>
      <c r="D1" s="14"/>
      <c r="E1" s="14"/>
    </row>
    <row r="2" spans="1:5" x14ac:dyDescent="0.45">
      <c r="A2" s="16" t="s">
        <v>103</v>
      </c>
      <c r="B2" s="16"/>
      <c r="C2" s="16"/>
      <c r="D2" s="16"/>
      <c r="E2" s="16"/>
    </row>
    <row r="3" spans="1:5" x14ac:dyDescent="0.45">
      <c r="A3" s="11" t="s">
        <v>104</v>
      </c>
      <c r="B3" s="11" t="s">
        <v>105</v>
      </c>
      <c r="C3" s="11" t="s">
        <v>106</v>
      </c>
      <c r="D3" s="11" t="s">
        <v>107</v>
      </c>
      <c r="E3" s="11" t="s">
        <v>108</v>
      </c>
    </row>
    <row r="4" spans="1:5" x14ac:dyDescent="0.45">
      <c r="A4" s="3" t="s">
        <v>109</v>
      </c>
      <c r="B4" s="3" t="s">
        <v>110</v>
      </c>
      <c r="C4" s="12">
        <v>-60</v>
      </c>
      <c r="D4" s="10" t="s">
        <v>8</v>
      </c>
      <c r="E4" s="2" t="s">
        <v>111</v>
      </c>
    </row>
    <row r="5" spans="1:5" x14ac:dyDescent="0.45">
      <c r="A5" s="3" t="s">
        <v>109</v>
      </c>
      <c r="B5" s="3" t="s">
        <v>112</v>
      </c>
      <c r="C5" s="12">
        <v>-50</v>
      </c>
      <c r="D5" s="10" t="s">
        <v>8</v>
      </c>
      <c r="E5" s="2" t="s">
        <v>113</v>
      </c>
    </row>
    <row r="6" spans="1:5" x14ac:dyDescent="0.45">
      <c r="A6" s="3" t="s">
        <v>109</v>
      </c>
      <c r="B6" s="3" t="s">
        <v>114</v>
      </c>
      <c r="C6" s="12">
        <v>-45</v>
      </c>
      <c r="D6" s="10" t="s">
        <v>8</v>
      </c>
      <c r="E6" s="2" t="s">
        <v>115</v>
      </c>
    </row>
    <row r="7" spans="1:5" x14ac:dyDescent="0.45">
      <c r="A7" s="3" t="s">
        <v>109</v>
      </c>
      <c r="B7" s="3" t="s">
        <v>116</v>
      </c>
      <c r="C7" s="12">
        <v>-45</v>
      </c>
      <c r="D7" s="10" t="s">
        <v>8</v>
      </c>
      <c r="E7" s="2" t="s">
        <v>117</v>
      </c>
    </row>
    <row r="8" spans="1:5" x14ac:dyDescent="0.45">
      <c r="A8" s="3" t="s">
        <v>109</v>
      </c>
      <c r="B8" s="3" t="s">
        <v>118</v>
      </c>
      <c r="C8" s="12">
        <v>-40</v>
      </c>
      <c r="D8" s="10" t="s">
        <v>8</v>
      </c>
      <c r="E8" s="2" t="s">
        <v>119</v>
      </c>
    </row>
    <row r="9" spans="1:5" x14ac:dyDescent="0.45">
      <c r="A9" s="3" t="s">
        <v>120</v>
      </c>
      <c r="B9" s="3" t="s">
        <v>121</v>
      </c>
      <c r="C9" s="12">
        <v>-40</v>
      </c>
      <c r="D9" s="10" t="s">
        <v>8</v>
      </c>
      <c r="E9" s="2" t="s">
        <v>122</v>
      </c>
    </row>
    <row r="10" spans="1:5" x14ac:dyDescent="0.45">
      <c r="A10" s="3" t="s">
        <v>120</v>
      </c>
      <c r="B10" s="3" t="s">
        <v>123</v>
      </c>
      <c r="C10" s="12">
        <v>-35</v>
      </c>
      <c r="D10" s="10" t="s">
        <v>8</v>
      </c>
      <c r="E10" s="2" t="s">
        <v>124</v>
      </c>
    </row>
    <row r="11" spans="1:5" x14ac:dyDescent="0.45">
      <c r="A11" s="3" t="s">
        <v>120</v>
      </c>
      <c r="B11" s="3" t="s">
        <v>125</v>
      </c>
      <c r="C11" s="12">
        <v>-30</v>
      </c>
      <c r="D11" s="10" t="s">
        <v>8</v>
      </c>
      <c r="E11" s="2" t="s">
        <v>126</v>
      </c>
    </row>
    <row r="12" spans="1:5" x14ac:dyDescent="0.45">
      <c r="A12" s="3" t="s">
        <v>120</v>
      </c>
      <c r="B12" s="3" t="s">
        <v>127</v>
      </c>
      <c r="C12" s="12">
        <v>-30</v>
      </c>
      <c r="D12" s="10" t="s">
        <v>8</v>
      </c>
      <c r="E12" s="2" t="s">
        <v>128</v>
      </c>
    </row>
    <row r="13" spans="1:5" x14ac:dyDescent="0.45">
      <c r="A13" s="3" t="s">
        <v>120</v>
      </c>
      <c r="B13" s="3" t="s">
        <v>129</v>
      </c>
      <c r="C13" s="12">
        <v>-30</v>
      </c>
      <c r="D13" s="10" t="s">
        <v>8</v>
      </c>
      <c r="E13" s="2" t="s">
        <v>130</v>
      </c>
    </row>
    <row r="14" spans="1:5" x14ac:dyDescent="0.45">
      <c r="A14" s="3" t="s">
        <v>120</v>
      </c>
      <c r="B14" s="3" t="s">
        <v>131</v>
      </c>
      <c r="C14" s="12">
        <v>-20</v>
      </c>
      <c r="D14" s="10" t="s">
        <v>8</v>
      </c>
      <c r="E14" s="2" t="s">
        <v>132</v>
      </c>
    </row>
    <row r="15" spans="1:5" x14ac:dyDescent="0.45">
      <c r="A15" s="3" t="s">
        <v>120</v>
      </c>
      <c r="B15" s="3" t="s">
        <v>133</v>
      </c>
      <c r="C15" s="12">
        <v>-18</v>
      </c>
      <c r="D15" s="10" t="s">
        <v>8</v>
      </c>
      <c r="E15" s="2" t="s">
        <v>134</v>
      </c>
    </row>
    <row r="16" spans="1:5" x14ac:dyDescent="0.45">
      <c r="A16" s="3" t="s">
        <v>135</v>
      </c>
      <c r="B16" s="3" t="s">
        <v>136</v>
      </c>
      <c r="C16" s="12">
        <v>-45</v>
      </c>
      <c r="D16" s="10" t="s">
        <v>8</v>
      </c>
      <c r="E16" s="2" t="s">
        <v>137</v>
      </c>
    </row>
    <row r="17" spans="1:5" x14ac:dyDescent="0.45">
      <c r="A17" s="3" t="s">
        <v>135</v>
      </c>
      <c r="B17" s="3" t="s">
        <v>138</v>
      </c>
      <c r="C17" s="12">
        <v>-35</v>
      </c>
      <c r="D17" s="10" t="s">
        <v>8</v>
      </c>
      <c r="E17" s="2" t="s">
        <v>139</v>
      </c>
    </row>
    <row r="18" spans="1:5" x14ac:dyDescent="0.45">
      <c r="A18" s="3" t="s">
        <v>135</v>
      </c>
      <c r="B18" s="3" t="s">
        <v>140</v>
      </c>
      <c r="C18" s="12">
        <v>-30</v>
      </c>
      <c r="D18" s="10" t="s">
        <v>8</v>
      </c>
      <c r="E18" s="2" t="s">
        <v>141</v>
      </c>
    </row>
    <row r="19" spans="1:5" x14ac:dyDescent="0.45">
      <c r="A19" s="3" t="s">
        <v>135</v>
      </c>
      <c r="B19" s="3" t="s">
        <v>142</v>
      </c>
      <c r="C19" s="12">
        <v>-30</v>
      </c>
      <c r="D19" s="10" t="s">
        <v>8</v>
      </c>
      <c r="E19" s="2" t="s">
        <v>143</v>
      </c>
    </row>
    <row r="20" spans="1:5" x14ac:dyDescent="0.45">
      <c r="A20" s="3" t="s">
        <v>135</v>
      </c>
      <c r="B20" s="3" t="s">
        <v>144</v>
      </c>
      <c r="C20" s="12">
        <v>-25</v>
      </c>
      <c r="D20" s="10" t="s">
        <v>8</v>
      </c>
      <c r="E20" s="2" t="s">
        <v>145</v>
      </c>
    </row>
    <row r="21" spans="1:5" x14ac:dyDescent="0.45">
      <c r="A21" s="3" t="s">
        <v>135</v>
      </c>
      <c r="B21" s="3" t="s">
        <v>146</v>
      </c>
      <c r="C21" s="12">
        <v>-20</v>
      </c>
      <c r="D21" s="10" t="s">
        <v>8</v>
      </c>
      <c r="E21" s="2" t="s">
        <v>147</v>
      </c>
    </row>
    <row r="23" spans="1:5" ht="17.5" x14ac:dyDescent="0.45">
      <c r="A23" s="3" t="s">
        <v>148</v>
      </c>
      <c r="B23" s="3" t="s">
        <v>149</v>
      </c>
      <c r="C23" t="s">
        <v>8</v>
      </c>
      <c r="D23" s="13">
        <f>MAX(20, 100 + SUMPRODUCT((D4:D21="O (해당)")*C4:C21))</f>
        <v>100</v>
      </c>
      <c r="E23" s="2" t="s">
        <v>150</v>
      </c>
    </row>
  </sheetData>
  <mergeCells count="2">
    <mergeCell ref="A1:E1"/>
    <mergeCell ref="A2:E2"/>
  </mergeCells>
  <phoneticPr fontId="11" type="noConversion"/>
  <dataValidations count="1">
    <dataValidation type="list" allowBlank="1" sqref="D4:D21" xr:uid="{00000000-0002-0000-0100-000000000000}">
      <formula1>"O (해당),X (비해당)"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1_기본정보</vt:lpstr>
      <vt:lpstr>2_특수조건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2026-05-12T03:31:58Z</dcterms:created>
  <dcterms:modified xsi:type="dcterms:W3CDTF">2026-05-12T03:51:56Z</dcterms:modified>
  <cp:category/>
</cp:coreProperties>
</file>